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nterprise Setup" sheetId="2" state="visible" r:id="rId4"/>
    <sheet name="Chart of Accounts" sheetId="3" state="visible" r:id="rId5"/>
    <sheet name="Journal Register" sheetId="4" state="visible" r:id="rId6"/>
    <sheet name="Trial Balance" sheetId="5" state="visible" r:id="rId7"/>
    <sheet name="P&amp;L Statement" sheetId="6" state="visible" r:id="rId8"/>
    <sheet name="Balance Sheet" sheetId="7" state="visible" r:id="rId9"/>
    <sheet name="Period Clos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<sst xmlns="http://schemas.openxmlformats.org/spreadsheetml/2006/main" count="1178" uniqueCount="572">
  <si>
    <t xml:space="preserve">ORACLE FUSION FINANCIALS — GENERAL LEDGER</t>
  </si>
  <si>
    <t xml:space="preserve">Implementation Simulation Project</t>
  </si>
  <si>
    <t xml:space="preserve">NEXORA MANUFACTURING PVT. LTD.</t>
  </si>
  <si>
    <t xml:space="preserve">Industry</t>
  </si>
  <si>
    <t xml:space="preserve">Manufacturing — Industrial Motors &amp; Spare Parts</t>
  </si>
  <si>
    <t xml:space="preserve">Headquarters</t>
  </si>
  <si>
    <t xml:space="preserve">Pune, Maharashtra, India</t>
  </si>
  <si>
    <t xml:space="preserve">Ledger Currency</t>
  </si>
  <si>
    <t xml:space="preserve">INR (Indian Rupee)</t>
  </si>
  <si>
    <t xml:space="preserve">Fiscal Year</t>
  </si>
  <si>
    <t xml:space="preserve">April 2024 – March 2025</t>
  </si>
  <si>
    <t xml:space="preserve">Accounting Method</t>
  </si>
  <si>
    <t xml:space="preserve">Accrual Basis</t>
  </si>
  <si>
    <t xml:space="preserve">GAAP Standard</t>
  </si>
  <si>
    <t xml:space="preserve">Indian GAAP (AS Standards)</t>
  </si>
  <si>
    <t xml:space="preserve">ERP System</t>
  </si>
  <si>
    <t xml:space="preserve">Oracle Fusion Cloud Financials</t>
  </si>
  <si>
    <t xml:space="preserve">Project Period</t>
  </si>
  <si>
    <t xml:space="preserve">June 2024 – July 2024 (6 Weeks)</t>
  </si>
  <si>
    <t xml:space="preserve">Prepared By</t>
  </si>
  <si>
    <t xml:space="preserve">Fresher Consultant — Oracle Fusion Financials</t>
  </si>
  <si>
    <t xml:space="preserve">Environment</t>
  </si>
  <si>
    <t xml:space="preserve">Oracle Fusion Cloud — Trial / Sandbox Instance</t>
  </si>
  <si>
    <t xml:space="preserve">PROJECT SCOPE — MODULES COVERED</t>
  </si>
  <si>
    <t xml:space="preserve">1. Enterprise Structure Setup (Ledger, Legal Entity, Business Unit)</t>
  </si>
  <si>
    <t xml:space="preserve">2. Chart of Accounts Design (5-Segment CoA)</t>
  </si>
  <si>
    <t xml:space="preserve">3. Account Combinations &amp; Hierarchies</t>
  </si>
  <si>
    <t xml:space="preserve">4. Journal Entry Creation &amp; Approval</t>
  </si>
  <si>
    <t xml:space="preserve">5. Month-End Period Close Process</t>
  </si>
  <si>
    <t xml:space="preserve">6. Trial Balance &amp; Financial Reporting</t>
  </si>
  <si>
    <t xml:space="preserve">7. Inter-Company Transactions</t>
  </si>
  <si>
    <t xml:space="preserve">8. Suspense Account Reconciliation</t>
  </si>
  <si>
    <t xml:space="preserve">WORKBOOK INDEX</t>
  </si>
  <si>
    <t xml:space="preserve">Sheet</t>
  </si>
  <si>
    <t xml:space="preserve">Tab Name</t>
  </si>
  <si>
    <t xml:space="preserve">Description</t>
  </si>
  <si>
    <t xml:space="preserve">Sheet 1</t>
  </si>
  <si>
    <t xml:space="preserve">Cover</t>
  </si>
  <si>
    <t xml:space="preserve">Project overview and scope</t>
  </si>
  <si>
    <t xml:space="preserve">Sheet 2</t>
  </si>
  <si>
    <t xml:space="preserve">Enterprise Setup</t>
  </si>
  <si>
    <t xml:space="preserve">Ledger, legal entity, business unit config</t>
  </si>
  <si>
    <t xml:space="preserve">Sheet 3</t>
  </si>
  <si>
    <t xml:space="preserve">Chart of Accounts</t>
  </si>
  <si>
    <t xml:space="preserve">5-segment CoA with account master</t>
  </si>
  <si>
    <t xml:space="preserve">Sheet 4</t>
  </si>
  <si>
    <t xml:space="preserve">Journal Register</t>
  </si>
  <si>
    <t xml:space="preserve">All journal entries for Apr–Jun 2024</t>
  </si>
  <si>
    <t xml:space="preserve">Sheet 5</t>
  </si>
  <si>
    <t xml:space="preserve">Trial Balance</t>
  </si>
  <si>
    <t xml:space="preserve">Period-wise trial balance (auto-calculated)</t>
  </si>
  <si>
    <t xml:space="preserve">Sheet 6</t>
  </si>
  <si>
    <t xml:space="preserve">P&amp;L Statement</t>
  </si>
  <si>
    <t xml:space="preserve">Profit &amp; Loss for Q1 FY 2024-25</t>
  </si>
  <si>
    <t xml:space="preserve">Sheet 7</t>
  </si>
  <si>
    <t xml:space="preserve">Balance Sheet</t>
  </si>
  <si>
    <t xml:space="preserve">Balance sheet as at 30 June 2024</t>
  </si>
  <si>
    <t xml:space="preserve">Sheet 8</t>
  </si>
  <si>
    <t xml:space="preserve">Period Close</t>
  </si>
  <si>
    <t xml:space="preserve">Month-end close checklist &amp; status</t>
  </si>
  <si>
    <t xml:space="preserve">ENTERPRISE STRUCTURE SETUP</t>
  </si>
  <si>
    <t xml:space="preserve">Nexora Manufacturing Pvt. Ltd. — Oracle Fusion GL Configuration</t>
  </si>
  <si>
    <t xml:space="preserve">LEGAL ENTITY</t>
  </si>
  <si>
    <t xml:space="preserve">Parameter</t>
  </si>
  <si>
    <t xml:space="preserve">Configuration</t>
  </si>
  <si>
    <t xml:space="preserve">Description / Notes</t>
  </si>
  <si>
    <t xml:space="preserve">Legal Entity Name</t>
  </si>
  <si>
    <t xml:space="preserve">Nexora Manufacturing Pvt. Ltd.</t>
  </si>
  <si>
    <t xml:space="preserve">Registered name under Companies Act 2013</t>
  </si>
  <si>
    <t xml:space="preserve">Legal Entity Identifier</t>
  </si>
  <si>
    <t xml:space="preserve">NMPL-IN-001</t>
  </si>
  <si>
    <t xml:space="preserve">Internal reference code</t>
  </si>
  <si>
    <t xml:space="preserve">Country</t>
  </si>
  <si>
    <t xml:space="preserve">India</t>
  </si>
  <si>
    <t xml:space="preserve">Country of incorporation</t>
  </si>
  <si>
    <t xml:space="preserve">Registration Number</t>
  </si>
  <si>
    <t xml:space="preserve">U28910MH2010PTC201234</t>
  </si>
  <si>
    <t xml:space="preserve">MCA registration number</t>
  </si>
  <si>
    <t xml:space="preserve">Tax Registration (GSTIN)</t>
  </si>
  <si>
    <t xml:space="preserve">27AABCN1234F1ZK</t>
  </si>
  <si>
    <t xml:space="preserve">Maharashtra GST registration</t>
  </si>
  <si>
    <t xml:space="preserve">PAN Number</t>
  </si>
  <si>
    <t xml:space="preserve">AABCN1234F</t>
  </si>
  <si>
    <t xml:space="preserve">Permanent Account Number</t>
  </si>
  <si>
    <t xml:space="preserve">Registered Address</t>
  </si>
  <si>
    <t xml:space="preserve">Plot 14, Bhosari Industrial Estate, Pune – 411026</t>
  </si>
  <si>
    <t xml:space="preserve">LEDGER CONFIGURATION</t>
  </si>
  <si>
    <t xml:space="preserve">Primary Ledger Name</t>
  </si>
  <si>
    <t xml:space="preserve">Nexora India Primary Ledger</t>
  </si>
  <si>
    <t xml:space="preserve">Main accounting ledger</t>
  </si>
  <si>
    <t xml:space="preserve">Currency</t>
  </si>
  <si>
    <t xml:space="preserve">INR</t>
  </si>
  <si>
    <t xml:space="preserve">Indian Rupee — functional currency</t>
  </si>
  <si>
    <t xml:space="preserve">Calendar</t>
  </si>
  <si>
    <t xml:space="preserve">Indian Fiscal (Apr–Mar)</t>
  </si>
  <si>
    <t xml:space="preserve">12 periods — April to March</t>
  </si>
  <si>
    <t xml:space="preserve">NMPL_COA_2024</t>
  </si>
  <si>
    <t xml:space="preserve">5-segment CoA (see CoA sheet)</t>
  </si>
  <si>
    <t xml:space="preserve">Standard Accrual</t>
  </si>
  <si>
    <t xml:space="preserve">Revenues recognized when earned</t>
  </si>
  <si>
    <t xml:space="preserve">Retained Earnings Account</t>
  </si>
  <si>
    <t xml:space="preserve">3-300-3100-00-00</t>
  </si>
  <si>
    <t xml:space="preserve">Segment: Co-CC-Acct-Prod-Future</t>
  </si>
  <si>
    <t xml:space="preserve">Suspense Account</t>
  </si>
  <si>
    <t xml:space="preserve">3-300-2999-00-00</t>
  </si>
  <si>
    <t xml:space="preserve">Used for unbalanced entries</t>
  </si>
  <si>
    <t xml:space="preserve">Rounding Account</t>
  </si>
  <si>
    <t xml:space="preserve">3-300-5900-00-00</t>
  </si>
  <si>
    <t xml:space="preserve">Currency rounding differences</t>
  </si>
  <si>
    <t xml:space="preserve">Cumulative Translation Adj.</t>
  </si>
  <si>
    <t xml:space="preserve">3-300-3200-00-00</t>
  </si>
  <si>
    <t xml:space="preserve">For any USD transactions</t>
  </si>
  <si>
    <t xml:space="preserve">BUSINESS UNITS</t>
  </si>
  <si>
    <t xml:space="preserve">Business Unit</t>
  </si>
  <si>
    <t xml:space="preserve">Type</t>
  </si>
  <si>
    <t xml:space="preserve">Ledger Mapping</t>
  </si>
  <si>
    <t xml:space="preserve">Nexora Manufacturing BU</t>
  </si>
  <si>
    <t xml:space="preserve">Primary Operations</t>
  </si>
  <si>
    <t xml:space="preserve">Nexora Sales BU</t>
  </si>
  <si>
    <t xml:space="preserve">Sales Operations</t>
  </si>
  <si>
    <t xml:space="preserve">Nexora Export BU</t>
  </si>
  <si>
    <t xml:space="preserve">Export Division</t>
  </si>
  <si>
    <t xml:space="preserve">ACCOUNTING CALENDAR — PERIOD STATUS</t>
  </si>
  <si>
    <t xml:space="preserve">Period Name</t>
  </si>
  <si>
    <t xml:space="preserve">From Date</t>
  </si>
  <si>
    <t xml:space="preserve">To Date</t>
  </si>
  <si>
    <t xml:space="preserve">Period Num</t>
  </si>
  <si>
    <t xml:space="preserve">Status</t>
  </si>
  <si>
    <t xml:space="preserve">Apr-24</t>
  </si>
  <si>
    <t xml:space="preserve">01-Apr-2024</t>
  </si>
  <si>
    <t xml:space="preserve">30-Apr-2024</t>
  </si>
  <si>
    <t xml:space="preserve">1</t>
  </si>
  <si>
    <t xml:space="preserve">Closed</t>
  </si>
  <si>
    <t xml:space="preserve">May-24</t>
  </si>
  <si>
    <t xml:space="preserve">01-May-2024</t>
  </si>
  <si>
    <t xml:space="preserve">31-May-2024</t>
  </si>
  <si>
    <t xml:space="preserve">2</t>
  </si>
  <si>
    <t xml:space="preserve">Jun-24</t>
  </si>
  <si>
    <t xml:space="preserve">01-Jun-2024</t>
  </si>
  <si>
    <t xml:space="preserve">30-Jun-2024</t>
  </si>
  <si>
    <t xml:space="preserve">3</t>
  </si>
  <si>
    <t xml:space="preserve">Jul-24</t>
  </si>
  <si>
    <t xml:space="preserve">01-Jul-2024</t>
  </si>
  <si>
    <t xml:space="preserve">31-Jul-2024</t>
  </si>
  <si>
    <t xml:space="preserve">4</t>
  </si>
  <si>
    <t xml:space="preserve">Open</t>
  </si>
  <si>
    <t xml:space="preserve">Aug-24</t>
  </si>
  <si>
    <t xml:space="preserve">01-Aug-2024</t>
  </si>
  <si>
    <t xml:space="preserve">31-Aug-2024</t>
  </si>
  <si>
    <t xml:space="preserve">5</t>
  </si>
  <si>
    <t xml:space="preserve">Future</t>
  </si>
  <si>
    <t xml:space="preserve">Sep-24</t>
  </si>
  <si>
    <t xml:space="preserve">01-Sep-2024</t>
  </si>
  <si>
    <t xml:space="preserve">30-Sep-2024</t>
  </si>
  <si>
    <t xml:space="preserve">6</t>
  </si>
  <si>
    <t xml:space="preserve">CHART OF ACCOUNTS — NMPL_COA_2024</t>
  </si>
  <si>
    <t xml:space="preserve">5-Segment Structure | Nexora Manufacturing Pvt. Ltd.</t>
  </si>
  <si>
    <t xml:space="preserve">SEGMENT STRUCTURE DEFINITION</t>
  </si>
  <si>
    <t xml:space="preserve">Seq</t>
  </si>
  <si>
    <t xml:space="preserve">Segment Name</t>
  </si>
  <si>
    <t xml:space="preserve">Length</t>
  </si>
  <si>
    <t xml:space="preserve">Sample Values</t>
  </si>
  <si>
    <t xml:space="preserve">Purpose</t>
  </si>
  <si>
    <t xml:space="preserve">Mandatory?</t>
  </si>
  <si>
    <t xml:space="preserve">Company</t>
  </si>
  <si>
    <t xml:space="preserve">2 digits</t>
  </si>
  <si>
    <t xml:space="preserve">Balancing Segment</t>
  </si>
  <si>
    <t xml:space="preserve">01, 02</t>
  </si>
  <si>
    <t xml:space="preserve">Identifies legal entity for balance</t>
  </si>
  <si>
    <t xml:space="preserve">Yes</t>
  </si>
  <si>
    <t xml:space="preserve">Cost Center</t>
  </si>
  <si>
    <t xml:space="preserve">3 digits</t>
  </si>
  <si>
    <t xml:space="preserve">Management Segment</t>
  </si>
  <si>
    <t xml:space="preserve">100, 200, 300</t>
  </si>
  <si>
    <t xml:space="preserve">Tracks departmental costs</t>
  </si>
  <si>
    <t xml:space="preserve">Natural Account</t>
  </si>
  <si>
    <t xml:space="preserve">4 digits</t>
  </si>
  <si>
    <t xml:space="preserve">Natural Account Segment</t>
  </si>
  <si>
    <t xml:space="preserve">1100, 4000, 5100</t>
  </si>
  <si>
    <t xml:space="preserve">P&amp;L / Balance Sheet classification</t>
  </si>
  <si>
    <t xml:space="preserve">Product</t>
  </si>
  <si>
    <t xml:space="preserve">Detail Segment</t>
  </si>
  <si>
    <t xml:space="preserve">P1, P2, 00</t>
  </si>
  <si>
    <t xml:space="preserve">Product-level P&amp;L reporting</t>
  </si>
  <si>
    <t xml:space="preserve">No</t>
  </si>
  <si>
    <t xml:space="preserve">Future Use</t>
  </si>
  <si>
    <t xml:space="preserve">Placeholder</t>
  </si>
  <si>
    <t xml:space="preserve">00</t>
  </si>
  <si>
    <t xml:space="preserve">Reserved for future expansion</t>
  </si>
  <si>
    <t xml:space="preserve">ACCOUNT MASTER — CHART OF ACCOUNTS</t>
  </si>
  <si>
    <t xml:space="preserve">Account Code</t>
  </si>
  <si>
    <t xml:space="preserve">Account Name</t>
  </si>
  <si>
    <t xml:space="preserve">Account Type</t>
  </si>
  <si>
    <t xml:space="preserve">Financial Statement</t>
  </si>
  <si>
    <t xml:space="preserve">Sub-Type</t>
  </si>
  <si>
    <t xml:space="preserve">Normal Balance</t>
  </si>
  <si>
    <t xml:space="preserve">Active?</t>
  </si>
  <si>
    <t xml:space="preserve">1100</t>
  </si>
  <si>
    <t xml:space="preserve">Cash &amp; Bank — HDFC Current A/c</t>
  </si>
  <si>
    <t xml:space="preserve">Asset</t>
  </si>
  <si>
    <t xml:space="preserve">Current Asset</t>
  </si>
  <si>
    <t xml:space="preserve">Debit</t>
  </si>
  <si>
    <t xml:space="preserve">1110</t>
  </si>
  <si>
    <t xml:space="preserve">Cash &amp; Bank — SBI Savings A/c</t>
  </si>
  <si>
    <t xml:space="preserve">1200</t>
  </si>
  <si>
    <t xml:space="preserve">Accounts Receivable — Trade</t>
  </si>
  <si>
    <t xml:space="preserve">1210</t>
  </si>
  <si>
    <t xml:space="preserve">Allowance for Doubtful Debts</t>
  </si>
  <si>
    <t xml:space="preserve">Credit</t>
  </si>
  <si>
    <t xml:space="preserve">1300</t>
  </si>
  <si>
    <t xml:space="preserve">Inventory — Raw Materials</t>
  </si>
  <si>
    <t xml:space="preserve">1310</t>
  </si>
  <si>
    <t xml:space="preserve">Inventory — Work in Progress</t>
  </si>
  <si>
    <t xml:space="preserve">1320</t>
  </si>
  <si>
    <t xml:space="preserve">Inventory — Finished Goods</t>
  </si>
  <si>
    <t xml:space="preserve">1400</t>
  </si>
  <si>
    <t xml:space="preserve">Prepaid Expenses</t>
  </si>
  <si>
    <t xml:space="preserve">1500</t>
  </si>
  <si>
    <t xml:space="preserve">Advance to Suppliers</t>
  </si>
  <si>
    <t xml:space="preserve">1600</t>
  </si>
  <si>
    <t xml:space="preserve">GST Input Tax Credit</t>
  </si>
  <si>
    <t xml:space="preserve">1700</t>
  </si>
  <si>
    <t xml:space="preserve">Plant &amp; Machinery (Gross)</t>
  </si>
  <si>
    <t xml:space="preserve">Fixed Asset</t>
  </si>
  <si>
    <t xml:space="preserve">1710</t>
  </si>
  <si>
    <t xml:space="preserve">Accum. Depreciation — Plant</t>
  </si>
  <si>
    <t xml:space="preserve">1800</t>
  </si>
  <si>
    <t xml:space="preserve">Furniture &amp; Fixtures (Gross)</t>
  </si>
  <si>
    <t xml:space="preserve">1810</t>
  </si>
  <si>
    <t xml:space="preserve">Accum. Depreciation — Furniture</t>
  </si>
  <si>
    <t xml:space="preserve">1900</t>
  </si>
  <si>
    <t xml:space="preserve">Capital WIP</t>
  </si>
  <si>
    <t xml:space="preserve">2100</t>
  </si>
  <si>
    <t xml:space="preserve">Accounts Payable — Trade</t>
  </si>
  <si>
    <t xml:space="preserve">Liability</t>
  </si>
  <si>
    <t xml:space="preserve">Current Liability</t>
  </si>
  <si>
    <t xml:space="preserve">2200</t>
  </si>
  <si>
    <t xml:space="preserve">Accrued Expenses</t>
  </si>
  <si>
    <t xml:space="preserve">2300</t>
  </si>
  <si>
    <t xml:space="preserve">GST Payable — Output Tax</t>
  </si>
  <si>
    <t xml:space="preserve">2310</t>
  </si>
  <si>
    <t xml:space="preserve">TDS Payable</t>
  </si>
  <si>
    <t xml:space="preserve">2400</t>
  </si>
  <si>
    <t xml:space="preserve">Advance from Customers</t>
  </si>
  <si>
    <t xml:space="preserve">2500</t>
  </si>
  <si>
    <t xml:space="preserve">Short-Term Borrowings</t>
  </si>
  <si>
    <t xml:space="preserve">2600</t>
  </si>
  <si>
    <t xml:space="preserve">Long-Term Loan — HDFC Bank</t>
  </si>
  <si>
    <t xml:space="preserve">Non-Current Liability</t>
  </si>
  <si>
    <t xml:space="preserve">2700</t>
  </si>
  <si>
    <t xml:space="preserve">Deferred Tax Liability</t>
  </si>
  <si>
    <t xml:space="preserve">2999</t>
  </si>
  <si>
    <t xml:space="preserve">Suspense</t>
  </si>
  <si>
    <t xml:space="preserve">3100</t>
  </si>
  <si>
    <t xml:space="preserve">Retained Earnings</t>
  </si>
  <si>
    <t xml:space="preserve">Equity</t>
  </si>
  <si>
    <t xml:space="preserve">3200</t>
  </si>
  <si>
    <t xml:space="preserve">Share Capital</t>
  </si>
  <si>
    <t xml:space="preserve">3300</t>
  </si>
  <si>
    <t xml:space="preserve">Securities Premium Reserve</t>
  </si>
  <si>
    <t xml:space="preserve">4000</t>
  </si>
  <si>
    <t xml:space="preserve">Revenue — Industrial Motors</t>
  </si>
  <si>
    <t xml:space="preserve">Revenue</t>
  </si>
  <si>
    <t xml:space="preserve">P&amp;L</t>
  </si>
  <si>
    <t xml:space="preserve">Operating Revenue</t>
  </si>
  <si>
    <t xml:space="preserve">4010</t>
  </si>
  <si>
    <t xml:space="preserve">Revenue — Spare Parts</t>
  </si>
  <si>
    <t xml:space="preserve">4020</t>
  </si>
  <si>
    <t xml:space="preserve">Revenue — Services</t>
  </si>
  <si>
    <t xml:space="preserve">4100</t>
  </si>
  <si>
    <t xml:space="preserve">Sales Returns &amp; Allowances</t>
  </si>
  <si>
    <t xml:space="preserve">Contra Revenue</t>
  </si>
  <si>
    <t xml:space="preserve">4200</t>
  </si>
  <si>
    <t xml:space="preserve">Other Income — Interest</t>
  </si>
  <si>
    <t xml:space="preserve">Non-Operating</t>
  </si>
  <si>
    <t xml:space="preserve">5100</t>
  </si>
  <si>
    <t xml:space="preserve">Cost of Goods Sold — Motors</t>
  </si>
  <si>
    <t xml:space="preserve">Expense</t>
  </si>
  <si>
    <t xml:space="preserve">COGS</t>
  </si>
  <si>
    <t xml:space="preserve">5110</t>
  </si>
  <si>
    <t xml:space="preserve">Cost of Goods Sold — Parts</t>
  </si>
  <si>
    <t xml:space="preserve">5200</t>
  </si>
  <si>
    <t xml:space="preserve">Salaries &amp; Wages</t>
  </si>
  <si>
    <t xml:space="preserve">Operating Expense</t>
  </si>
  <si>
    <t xml:space="preserve">5210</t>
  </si>
  <si>
    <t xml:space="preserve">PF &amp; ESI Contribution</t>
  </si>
  <si>
    <t xml:space="preserve">5300</t>
  </si>
  <si>
    <t xml:space="preserve">Rent — Factory</t>
  </si>
  <si>
    <t xml:space="preserve">5310</t>
  </si>
  <si>
    <t xml:space="preserve">Rent — Office</t>
  </si>
  <si>
    <t xml:space="preserve">5400</t>
  </si>
  <si>
    <t xml:space="preserve">Electricity &amp; Utilities</t>
  </si>
  <si>
    <t xml:space="preserve">5500</t>
  </si>
  <si>
    <t xml:space="preserve">Depreciation Expense</t>
  </si>
  <si>
    <t xml:space="preserve">Non-Cash Expense</t>
  </si>
  <si>
    <t xml:space="preserve">5600</t>
  </si>
  <si>
    <t xml:space="preserve">Repairs &amp; Maintenance</t>
  </si>
  <si>
    <t xml:space="preserve">5700</t>
  </si>
  <si>
    <t xml:space="preserve">Selling &amp; Distribution Expense</t>
  </si>
  <si>
    <t xml:space="preserve">5800</t>
  </si>
  <si>
    <t xml:space="preserve">Finance Charges — Interest</t>
  </si>
  <si>
    <t xml:space="preserve">Finance Cost</t>
  </si>
  <si>
    <t xml:space="preserve">5900</t>
  </si>
  <si>
    <t xml:space="preserve">Rounding Differences</t>
  </si>
  <si>
    <t xml:space="preserve">Other</t>
  </si>
  <si>
    <t xml:space="preserve">LEGEND — Account Type Color Coding</t>
  </si>
  <si>
    <t xml:space="preserve">  Asset</t>
  </si>
  <si>
    <t xml:space="preserve">  Liability</t>
  </si>
  <si>
    <t xml:space="preserve">  Equity</t>
  </si>
  <si>
    <t xml:space="preserve">  Revenue</t>
  </si>
  <si>
    <t xml:space="preserve">  Expense</t>
  </si>
  <si>
    <t xml:space="preserve">JOURNAL ENTRY REGISTER — Q1 FY 2024-25</t>
  </si>
  <si>
    <t xml:space="preserve">Period: April 2024 – June 2024 | All amounts in INR</t>
  </si>
  <si>
    <t xml:space="preserve">JE Ref</t>
  </si>
  <si>
    <t xml:space="preserve">Date</t>
  </si>
  <si>
    <t xml:space="preserve">Debit (INR)</t>
  </si>
  <si>
    <t xml:space="preserve">Credit (INR)</t>
  </si>
  <si>
    <t xml:space="preserve">Cumul. Balance</t>
  </si>
  <si>
    <t xml:space="preserve">Period</t>
  </si>
  <si>
    <t xml:space="preserve">Narration</t>
  </si>
  <si>
    <t xml:space="preserve">JE-001</t>
  </si>
  <si>
    <t xml:space="preserve">1-100-1100-00-00</t>
  </si>
  <si>
    <t xml:space="preserve">Cash &amp; Bank — HDFC</t>
  </si>
  <si>
    <t xml:space="preserve">100 — Production</t>
  </si>
  <si>
    <t xml:space="preserve">Opening cash balance b/f</t>
  </si>
  <si>
    <t xml:space="preserve">1-100-1200-00-00</t>
  </si>
  <si>
    <t xml:space="preserve">Accounts Receivable</t>
  </si>
  <si>
    <t xml:space="preserve">Opening AR balance b/f</t>
  </si>
  <si>
    <t xml:space="preserve">1-100-1300-00-00</t>
  </si>
  <si>
    <t xml:space="preserve">Opening inventory b/f</t>
  </si>
  <si>
    <t xml:space="preserve">1-100-3200-00-00</t>
  </si>
  <si>
    <t xml:space="preserve">Opening equity balance b/f</t>
  </si>
  <si>
    <t xml:space="preserve">JE-002</t>
  </si>
  <si>
    <t xml:space="preserve">05-Apr-2024</t>
  </si>
  <si>
    <t xml:space="preserve">1-200-1200-00-P1</t>
  </si>
  <si>
    <t xml:space="preserve">AR — Motors (Invoice INV-001)</t>
  </si>
  <si>
    <t xml:space="preserve">200 — Sales</t>
  </si>
  <si>
    <t xml:space="preserve">Credit sale — 10 motors @ 58,000</t>
  </si>
  <si>
    <t xml:space="preserve">1-200-4000-00-P1</t>
  </si>
  <si>
    <t xml:space="preserve">Revenue net of GST 18%</t>
  </si>
  <si>
    <t xml:space="preserve">1-200-2300-00-00</t>
  </si>
  <si>
    <t xml:space="preserve">GST @18% on motor sales</t>
  </si>
  <si>
    <t xml:space="preserve">JE-003</t>
  </si>
  <si>
    <t xml:space="preserve">1-100-5100-P1-00</t>
  </si>
  <si>
    <t xml:space="preserve">COGS — Motors</t>
  </si>
  <si>
    <t xml:space="preserve">Cost of 10 motors sold</t>
  </si>
  <si>
    <t xml:space="preserve">1-100-1320-P1-00</t>
  </si>
  <si>
    <t xml:space="preserve">Reduce FG inventory</t>
  </si>
  <si>
    <t xml:space="preserve">JE-004</t>
  </si>
  <si>
    <t xml:space="preserve">1-100-5200-00-00</t>
  </si>
  <si>
    <t xml:space="preserve">Production staff — April salaries</t>
  </si>
  <si>
    <t xml:space="preserve">1-200-5200-00-00</t>
  </si>
  <si>
    <t xml:space="preserve">Sales team — April salaries</t>
  </si>
  <si>
    <t xml:space="preserve">1-300-5200-00-00</t>
  </si>
  <si>
    <t xml:space="preserve">300 — Admin</t>
  </si>
  <si>
    <t xml:space="preserve">Admin staff — April salaries</t>
  </si>
  <si>
    <t xml:space="preserve">1-100-2310-00-00</t>
  </si>
  <si>
    <t xml:space="preserve">TDS @ 10% deducted</t>
  </si>
  <si>
    <t xml:space="preserve">Net salary paid after TDS</t>
  </si>
  <si>
    <t xml:space="preserve">JE-005</t>
  </si>
  <si>
    <t xml:space="preserve">1-100-5300-00-00</t>
  </si>
  <si>
    <t xml:space="preserve">Factory rent April</t>
  </si>
  <si>
    <t xml:space="preserve">1-300-5310-00-00</t>
  </si>
  <si>
    <t xml:space="preserve">Office rent April</t>
  </si>
  <si>
    <t xml:space="preserve">Rent paid</t>
  </si>
  <si>
    <t xml:space="preserve">JE-006</t>
  </si>
  <si>
    <t xml:space="preserve">1-100-5500-00-00</t>
  </si>
  <si>
    <t xml:space="preserve">Monthly depreciation — plant &amp; machinery</t>
  </si>
  <si>
    <t xml:space="preserve">1-100-1710-00-00</t>
  </si>
  <si>
    <t xml:space="preserve">Accum. Dep — Plant</t>
  </si>
  <si>
    <t xml:space="preserve">Accumulated depreciation entry</t>
  </si>
  <si>
    <t xml:space="preserve">JE-007</t>
  </si>
  <si>
    <t xml:space="preserve">12-May-2024</t>
  </si>
  <si>
    <t xml:space="preserve">1-200-1200-00-P2</t>
  </si>
  <si>
    <t xml:space="preserve">AR — Spare Parts (INV-002)</t>
  </si>
  <si>
    <t xml:space="preserve">Credit sale — spare parts</t>
  </si>
  <si>
    <t xml:space="preserve">1-200-4010-00-P2</t>
  </si>
  <si>
    <t xml:space="preserve">GST @18% on parts sales</t>
  </si>
  <si>
    <t xml:space="preserve">JE-008</t>
  </si>
  <si>
    <t xml:space="preserve">15-May-2024</t>
  </si>
  <si>
    <t xml:space="preserve">Receipt from customer — INV-001</t>
  </si>
  <si>
    <t xml:space="preserve">AR — Motors</t>
  </si>
  <si>
    <t xml:space="preserve">Clear AR against INV-001</t>
  </si>
  <si>
    <t xml:space="preserve">JE-009</t>
  </si>
  <si>
    <t xml:space="preserve">20-May-2024</t>
  </si>
  <si>
    <t xml:space="preserve">Raw material purchase — Vendor PO-204</t>
  </si>
  <si>
    <t xml:space="preserve">1-100-1600-00-00</t>
  </si>
  <si>
    <t xml:space="preserve">GST ITC on purchase 18%</t>
  </si>
  <si>
    <t xml:space="preserve">1-100-2100-00-00</t>
  </si>
  <si>
    <t xml:space="preserve">AP liability for PO-204</t>
  </si>
  <si>
    <t xml:space="preserve">JE-010</t>
  </si>
  <si>
    <t xml:space="preserve">28-May-2024</t>
  </si>
  <si>
    <t xml:space="preserve">Payment to vendor PO-204</t>
  </si>
  <si>
    <t xml:space="preserve">Vendor payment via NEFT</t>
  </si>
  <si>
    <t xml:space="preserve">JE-011</t>
  </si>
  <si>
    <t xml:space="preserve">1-100-5400-00-00</t>
  </si>
  <si>
    <t xml:space="preserve">Electricity bill June — accrual</t>
  </si>
  <si>
    <t xml:space="preserve">1-100-2200-00-00</t>
  </si>
  <si>
    <t xml:space="preserve">Accrued — bill not received</t>
  </si>
  <si>
    <t xml:space="preserve">JE-012</t>
  </si>
  <si>
    <t xml:space="preserve">18-Jun-2024</t>
  </si>
  <si>
    <t xml:space="preserve">AR — Motors (INV-003)</t>
  </si>
  <si>
    <t xml:space="preserve">Credit sale — 12 motors</t>
  </si>
  <si>
    <t xml:space="preserve">JE-013</t>
  </si>
  <si>
    <t xml:space="preserve">25-Jun-2024</t>
  </si>
  <si>
    <t xml:space="preserve">1-300-1200-00-00</t>
  </si>
  <si>
    <t xml:space="preserve">AR — Intercompany (Export BU)</t>
  </si>
  <si>
    <t xml:space="preserve">Intercompany sale to Export BU</t>
  </si>
  <si>
    <t xml:space="preserve">2-300-2100-00-00</t>
  </si>
  <si>
    <t xml:space="preserve">AP — Intercompany (Export BU)</t>
  </si>
  <si>
    <t xml:space="preserve">Intercompany payable — Export BU</t>
  </si>
  <si>
    <t xml:space="preserve">JE-014</t>
  </si>
  <si>
    <t xml:space="preserve">1-100-2999-00-00</t>
  </si>
  <si>
    <t xml:space="preserve">Clearing suspense — bank charges</t>
  </si>
  <si>
    <t xml:space="preserve">1-100-5800-00-00</t>
  </si>
  <si>
    <t xml:space="preserve">Reclassified to finance charges</t>
  </si>
  <si>
    <t xml:space="preserve">GRAND TOTAL</t>
  </si>
  <si>
    <t xml:space="preserve">TRIAL BALANCE — AS AT 30 JUNE 2024</t>
  </si>
  <si>
    <t xml:space="preserve">Nexora Manufacturing Pvt. Ltd. | Period: Q1 FY 2024-25 | INR</t>
  </si>
  <si>
    <t xml:space="preserve">Opening Dr</t>
  </si>
  <si>
    <t xml:space="preserve">Opening Cr</t>
  </si>
  <si>
    <t xml:space="preserve">Period Dr</t>
  </si>
  <si>
    <t xml:space="preserve">Period Cr</t>
  </si>
  <si>
    <t xml:space="preserve">Cash &amp; Bank — SBI</t>
  </si>
  <si>
    <t xml:space="preserve">Inventory — WIP</t>
  </si>
  <si>
    <t xml:space="preserve">Accounts Payable</t>
  </si>
  <si>
    <t xml:space="preserve">GST Payable — Output</t>
  </si>
  <si>
    <t xml:space="preserve">Long-Term Loan</t>
  </si>
  <si>
    <t xml:space="preserve">Revenue — Motors</t>
  </si>
  <si>
    <t xml:space="preserve">Finance Charges</t>
  </si>
  <si>
    <t xml:space="preserve">TOTAL</t>
  </si>
  <si>
    <t xml:space="preserve">BALANCE CHECK (Dr – Cr should = 0)</t>
  </si>
  <si>
    <t xml:space="preserve">PROFIT &amp; LOSS STATEMENT — Q1 FY 2024-25</t>
  </si>
  <si>
    <t xml:space="preserve">Nexora Manufacturing Pvt. Ltd. | April 2024 – June 2024 | INR</t>
  </si>
  <si>
    <t xml:space="preserve">Category</t>
  </si>
  <si>
    <t xml:space="preserve">Particulars</t>
  </si>
  <si>
    <t xml:space="preserve">Note</t>
  </si>
  <si>
    <t xml:space="preserve">Amount (INR)</t>
  </si>
  <si>
    <t xml:space="preserve">% of Revenue</t>
  </si>
  <si>
    <t xml:space="preserve">I. REVENUE FROM OPERATIONS</t>
  </si>
  <si>
    <t xml:space="preserve">Revenue from Services</t>
  </si>
  <si>
    <t xml:space="preserve">TOTAL REVENUE</t>
  </si>
  <si>
    <t xml:space="preserve">II. COST OF GOODS SOLD</t>
  </si>
  <si>
    <t xml:space="preserve">COGS — Industrial Motors</t>
  </si>
  <si>
    <t xml:space="preserve">COGS — Spare Parts</t>
  </si>
  <si>
    <t xml:space="preserve">TOTAL COGS</t>
  </si>
  <si>
    <t xml:space="preserve">GROSS PROFIT</t>
  </si>
  <si>
    <t xml:space="preserve">III. OPERATING EXPENSES</t>
  </si>
  <si>
    <t xml:space="preserve">OpEx</t>
  </si>
  <si>
    <t xml:space="preserve">Rent — Factory &amp; Office</t>
  </si>
  <si>
    <t xml:space="preserve">Selling &amp; Distribution</t>
  </si>
  <si>
    <t xml:space="preserve">Depreciation</t>
  </si>
  <si>
    <t xml:space="preserve">TOTAL OPEX</t>
  </si>
  <si>
    <t xml:space="preserve">OPERATING PROFIT (EBIT)</t>
  </si>
  <si>
    <t xml:space="preserve">IV. FINANCE COSTS</t>
  </si>
  <si>
    <t xml:space="preserve">Finance</t>
  </si>
  <si>
    <t xml:space="preserve">TOTAL FINANCE COSTS</t>
  </si>
  <si>
    <t xml:space="preserve">PROFIT BEFORE TAX (PBT)</t>
  </si>
  <si>
    <t xml:space="preserve">V. TAX PROVISION</t>
  </si>
  <si>
    <t xml:space="preserve">Tax</t>
  </si>
  <si>
    <t xml:space="preserve">Income Tax @ 25%</t>
  </si>
  <si>
    <t xml:space="preserve">PROFIT AFTER TAX (PAT)</t>
  </si>
  <si>
    <t xml:space="preserve">BALANCE SHEET — AS AT 30 JUNE 2024</t>
  </si>
  <si>
    <t xml:space="preserve">Nexora Manufacturing Pvt. Ltd. | INR | Unaudited</t>
  </si>
  <si>
    <t xml:space="preserve">Prev Year (INR)</t>
  </si>
  <si>
    <t xml:space="preserve">A. EQUITY &amp; LIABILITIES</t>
  </si>
  <si>
    <t xml:space="preserve">I. SHAREHOLDERS' EQUITY</t>
  </si>
  <si>
    <t xml:space="preserve">Retained Earnings (b/f)</t>
  </si>
  <si>
    <t xml:space="preserve">Profit for the Period</t>
  </si>
  <si>
    <t xml:space="preserve">TOTAL EQUITY</t>
  </si>
  <si>
    <t xml:space="preserve">II. NON-CURRENT LIABILITIES</t>
  </si>
  <si>
    <t xml:space="preserve">NCL</t>
  </si>
  <si>
    <t xml:space="preserve">TOTAL NCL</t>
  </si>
  <si>
    <t xml:space="preserve">III. CURRENT LIABILITIES</t>
  </si>
  <si>
    <t xml:space="preserve">CL</t>
  </si>
  <si>
    <t xml:space="preserve">TOTAL CURRENT LIABILITIES</t>
  </si>
  <si>
    <t xml:space="preserve">TOTAL EQUITY &amp; LIABILITIES</t>
  </si>
  <si>
    <t xml:space="preserve">B. ASSETS</t>
  </si>
  <si>
    <t xml:space="preserve">I. NON-CURRENT ASSETS</t>
  </si>
  <si>
    <t xml:space="preserve">NCA</t>
  </si>
  <si>
    <t xml:space="preserve">Less: Accum. Depreciation</t>
  </si>
  <si>
    <t xml:space="preserve">Capital Work in Progress</t>
  </si>
  <si>
    <t xml:space="preserve">TOTAL NCA</t>
  </si>
  <si>
    <t xml:space="preserve">II. CURRENT ASSETS</t>
  </si>
  <si>
    <t xml:space="preserve">CA</t>
  </si>
  <si>
    <t xml:space="preserve">TOTAL CURRENT ASSETS</t>
  </si>
  <si>
    <t xml:space="preserve">TOTAL ASSETS</t>
  </si>
  <si>
    <t xml:space="preserve">BALANCE CHECK (Assets = Equity + Liabilities)</t>
  </si>
  <si>
    <t xml:space="preserve">MONTH-END PERIOD CLOSE CHECKLIST</t>
  </si>
  <si>
    <t xml:space="preserve">Oracle Fusion GL | Nexora Manufacturing Pvt. Ltd. | Q1 FY 2024-25</t>
  </si>
  <si>
    <t xml:space="preserve">#</t>
  </si>
  <si>
    <t xml:space="preserve">Activity</t>
  </si>
  <si>
    <t xml:space="preserve">Owner</t>
  </si>
  <si>
    <t xml:space="preserve">Target Date</t>
  </si>
  <si>
    <t xml:space="preserve">Oracle Fusion Navigation</t>
  </si>
  <si>
    <t xml:space="preserve">Notes / Evidence</t>
  </si>
  <si>
    <t xml:space="preserve">Post all sub-ledger transactions (AP/AR/FA)</t>
  </si>
  <si>
    <t xml:space="preserve">GL Consultant</t>
  </si>
  <si>
    <t xml:space="preserve">25th of month</t>
  </si>
  <si>
    <t xml:space="preserve">✔ Done</t>
  </si>
  <si>
    <t xml:space="preserve">Accounting &gt; Journal Entries &gt; Post</t>
  </si>
  <si>
    <t xml:space="preserve">Verified all subledger journals transferred</t>
  </si>
  <si>
    <t xml:space="preserve">Transfer subledger journals to GL</t>
  </si>
  <si>
    <t xml:space="preserve">Close Periods &gt; Transfer Subledger</t>
  </si>
  <si>
    <t xml:space="preserve">Run Accounting Program for all sources</t>
  </si>
  <si>
    <t xml:space="preserve">Post all manual journal entries</t>
  </si>
  <si>
    <t xml:space="preserve">26th of month</t>
  </si>
  <si>
    <t xml:space="preserve">Journals &gt; Create/Post</t>
  </si>
  <si>
    <t xml:space="preserve">Check all JE status = Posted</t>
  </si>
  <si>
    <t xml:space="preserve">Clear suspense account (2999)</t>
  </si>
  <si>
    <t xml:space="preserve">27th of month</t>
  </si>
  <si>
    <t xml:space="preserve">Journals &gt; Search &gt; Suspense Acct</t>
  </si>
  <si>
    <t xml:space="preserve">JE-014 cleared ₹15,000 suspense</t>
  </si>
  <si>
    <t xml:space="preserve">Run preliminary trial balance</t>
  </si>
  <si>
    <t xml:space="preserve">Reports &gt; Trial Balance</t>
  </si>
  <si>
    <t xml:space="preserve">Verified Dr = Cr for each period</t>
  </si>
  <si>
    <t xml:space="preserve">Perform inter-company reconciliation</t>
  </si>
  <si>
    <t xml:space="preserve">GL Manager</t>
  </si>
  <si>
    <t xml:space="preserve">28th of month</t>
  </si>
  <si>
    <t xml:space="preserve">Intercompany &gt; Reconcile</t>
  </si>
  <si>
    <t xml:space="preserve">BU1 vs BU2 match confirmed</t>
  </si>
  <si>
    <t xml:space="preserve">7</t>
  </si>
  <si>
    <t xml:space="preserve">Review prepaid &amp; accrual adjustments</t>
  </si>
  <si>
    <t xml:space="preserve">Journals &gt; Recurring Journals</t>
  </si>
  <si>
    <t xml:space="preserve">Prepaid amortized; utilities accrued</t>
  </si>
  <si>
    <t xml:space="preserve">8</t>
  </si>
  <si>
    <t xml:space="preserve">Post depreciation entries</t>
  </si>
  <si>
    <t xml:space="preserve">Fixed Assets Team</t>
  </si>
  <si>
    <t xml:space="preserve">Fixed Assets &gt; Run Depreciation</t>
  </si>
  <si>
    <t xml:space="preserve">Dep: ₹42,000 — Plant &amp; Machinery</t>
  </si>
  <si>
    <t xml:space="preserve">9</t>
  </si>
  <si>
    <t xml:space="preserve">Reconcile bank accounts</t>
  </si>
  <si>
    <t xml:space="preserve">Finance Team</t>
  </si>
  <si>
    <t xml:space="preserve">29th of month</t>
  </si>
  <si>
    <t xml:space="preserve">Cash Mgmt &gt; Bank Reconciliation</t>
  </si>
  <si>
    <t xml:space="preserve">HDFC current a/c reconciled</t>
  </si>
  <si>
    <t xml:space="preserve">10</t>
  </si>
  <si>
    <t xml:space="preserve">Run final trial balance</t>
  </si>
  <si>
    <t xml:space="preserve">Reports &gt; Final Trial Balance</t>
  </si>
  <si>
    <t xml:space="preserve">All accounts balanced — sign-off ready</t>
  </si>
  <si>
    <t xml:space="preserve">11</t>
  </si>
  <si>
    <t xml:space="preserve">Generate financial statements</t>
  </si>
  <si>
    <t xml:space="preserve">30th of month</t>
  </si>
  <si>
    <t xml:space="preserve">Reports &gt; Financial Reporting Studio</t>
  </si>
  <si>
    <t xml:space="preserve">P&amp;L and Balance Sheet generated</t>
  </si>
  <si>
    <t xml:space="preserve">12</t>
  </si>
  <si>
    <t xml:space="preserve">Close the accounting period</t>
  </si>
  <si>
    <t xml:space="preserve">Finance Controller</t>
  </si>
  <si>
    <t xml:space="preserve">Close Periods &gt; Change Status &gt; Close</t>
  </si>
  <si>
    <t xml:space="preserve">Period Apr-24 status = Closed</t>
  </si>
  <si>
    <t xml:space="preserve">13</t>
  </si>
  <si>
    <t xml:space="preserve">Open next period</t>
  </si>
  <si>
    <t xml:space="preserve">1st of next month</t>
  </si>
  <si>
    <t xml:space="preserve">Close Periods &gt; Change Status &gt; Open</t>
  </si>
  <si>
    <t xml:space="preserve">May-24 opened for transactions</t>
  </si>
  <si>
    <t xml:space="preserve">14</t>
  </si>
  <si>
    <t xml:space="preserve">Archive journal backup</t>
  </si>
  <si>
    <t xml:space="preserve">IT/Finance</t>
  </si>
  <si>
    <t xml:space="preserve">2nd of next month</t>
  </si>
  <si>
    <t xml:space="preserve">Reports &gt; Journal Report &gt; Export</t>
  </si>
  <si>
    <t xml:space="preserve">PDF archived in shared drive</t>
  </si>
  <si>
    <t xml:space="preserve">PERIOD CLOSE SUMMARY METRICS</t>
  </si>
  <si>
    <t xml:space="preserve">Periods Closed (Q1)</t>
  </si>
  <si>
    <t xml:space="preserve">3 of 3 (Apr, May, Jun)</t>
  </si>
  <si>
    <t xml:space="preserve">Total Journal Entries Posted</t>
  </si>
  <si>
    <t xml:space="preserve">14 JEs — 37 lines</t>
  </si>
  <si>
    <t xml:space="preserve">Suspense Account Balance</t>
  </si>
  <si>
    <t xml:space="preserve">₹0 (Cleared)</t>
  </si>
  <si>
    <t xml:space="preserve">Intercompany Differences</t>
  </si>
  <si>
    <t xml:space="preserve">₹0 (Reconciled)</t>
  </si>
  <si>
    <t xml:space="preserve">Close Completion Rate</t>
  </si>
  <si>
    <t xml:space="preserve">14/14 steps — 100%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</si>
</sst>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"/>
    <numFmt numFmtId="166" formatCode="0.0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3"/>
      <color rgb="FFBDD7EE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sz val="10"/>
      <color rgb="FF0C2556"/>
      <name val="Arial"/>
      <family val="0"/>
      <charset val="1"/>
    </font>
    <font>
      <sz val="10"/>
      <color rgb="FF7B2C00"/>
      <name val="Arial"/>
      <family val="0"/>
      <charset val="1"/>
    </font>
    <font>
      <sz val="10"/>
      <color rgb="FF375623"/>
      <name val="Arial"/>
      <family val="0"/>
      <charset val="1"/>
    </font>
    <font>
      <sz val="10"/>
      <color rgb="FF1E4620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color rgb="FF0C2556"/>
      <name val="Arial"/>
      <family val="0"/>
      <charset val="1"/>
    </font>
    <font>
      <b val="true"/>
      <sz val="10"/>
      <color rgb="FF7B2C00"/>
      <name val="Arial"/>
      <family val="0"/>
      <charset val="1"/>
    </font>
    <font>
      <b val="true"/>
      <sz val="10"/>
      <color rgb="FF1E462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0C2556"/>
      </patternFill>
    </fill>
    <fill>
      <patternFill patternType="solid">
        <fgColor rgb="FFC55A11"/>
        <bgColor rgb="FF9C6500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4472C4"/>
        <bgColor rgb="FF2E5DA6"/>
      </patternFill>
    </fill>
    <fill>
      <patternFill patternType="solid">
        <fgColor rgb="FFEBF3FB"/>
        <bgColor rgb="FFF2F2F2"/>
      </patternFill>
    </fill>
    <fill>
      <patternFill patternType="solid">
        <fgColor rgb="FF2E5DA6"/>
        <bgColor rgb="FF4472C4"/>
      </patternFill>
    </fill>
    <fill>
      <patternFill patternType="solid">
        <fgColor rgb="FFE2EFDA"/>
        <bgColor rgb="FFDEEAF1"/>
      </patternFill>
    </fill>
    <fill>
      <patternFill patternType="solid">
        <fgColor rgb="FFFFEB9C"/>
        <bgColor rgb="FFFCE4D6"/>
      </patternFill>
    </fill>
    <fill>
      <patternFill patternType="solid">
        <fgColor rgb="FFF2F2F2"/>
        <bgColor rgb="FFEBF3FB"/>
      </patternFill>
    </fill>
    <fill>
      <patternFill patternType="solid">
        <fgColor rgb="FFFCE4D6"/>
        <bgColor rgb="FFF2F2F2"/>
      </patternFill>
    </fill>
    <fill>
      <patternFill patternType="solid">
        <fgColor rgb="FFFFC7CE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/>
      <top style="thin">
        <color rgb="FFB8CCE4"/>
      </top>
      <bottom style="thin">
        <color rgb="FFB8CCE4"/>
      </bottom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8CCE4"/>
      <rgbColor rgb="FF808080"/>
      <rgbColor rgb="FF9999FF"/>
      <rgbColor rgb="FF7030A0"/>
      <rgbColor rgb="FFF2F2F2"/>
      <rgbColor rgb="FFEBF3FB"/>
      <rgbColor rgb="FF660066"/>
      <rgbColor rgb="FFFF8080"/>
      <rgbColor rgb="FF2E5DA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EB9C"/>
      <rgbColor rgb="FF99CCFF"/>
      <rgbColor rgb="FFFCE4D6"/>
      <rgbColor rgb="FFCC99FF"/>
      <rgbColor rgb="FFFFC7CE"/>
      <rgbColor rgb="FF4472C4"/>
      <rgbColor rgb="FF33CCCC"/>
      <rgbColor rgb="FF99CC00"/>
      <rgbColor rgb="FFFFC000"/>
      <rgbColor rgb="FFFF9900"/>
      <rgbColor rgb="FFED7D31"/>
      <rgbColor rgb="FF666699"/>
      <rgbColor rgb="FF70AD47"/>
      <rgbColor rgb="FF0C2556"/>
      <rgbColor rgb="FF339966"/>
      <rgbColor rgb="FF003300"/>
      <rgbColor rgb="FF375623"/>
      <rgbColor rgb="FF7B2C00"/>
      <rgbColor rgb="FFC55A11"/>
      <rgbColor rgb="FF1F3864"/>
      <rgbColor rgb="FF1E46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L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2" min="2" style="0" width="14"/>
  </cols>
  <sheetData>
    <row r="1" customFormat="false" ht="1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true" outlineLevel="0" collapsed="false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15" hidden="false" customHeight="true" outlineLevel="0" collapsed="false">
      <c r="A5" s="1"/>
      <c r="B5" s="3" t="s">
        <v>1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6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8" customFormat="false" ht="27.75" hidden="false" customHeight="true" outlineLevel="0" collapsed="false">
      <c r="B8" s="5" t="s">
        <v>2</v>
      </c>
      <c r="C8" s="5"/>
      <c r="D8" s="5"/>
      <c r="E8" s="5"/>
      <c r="F8" s="5"/>
      <c r="G8" s="5"/>
      <c r="H8" s="5"/>
      <c r="I8" s="5"/>
      <c r="J8" s="5"/>
      <c r="K8" s="5"/>
      <c r="L8" s="5"/>
    </row>
    <row r="9" customFormat="false" ht="7.5" hidden="false" customHeight="true" outlineLevel="0" collapsed="false"/>
    <row r="10" customFormat="false" ht="21.75" hidden="false" customHeight="true" outlineLevel="0" collapsed="false">
      <c r="B10" s="6" t="s">
        <v>3</v>
      </c>
      <c r="C10" s="6"/>
      <c r="D10" s="6"/>
      <c r="E10" s="7" t="s">
        <v>4</v>
      </c>
      <c r="F10" s="7"/>
      <c r="G10" s="7"/>
      <c r="H10" s="7"/>
      <c r="I10" s="7"/>
      <c r="J10" s="7"/>
      <c r="K10" s="7"/>
      <c r="L10" s="7"/>
    </row>
    <row r="11" customFormat="false" ht="21.75" hidden="false" customHeight="true" outlineLevel="0" collapsed="false">
      <c r="B11" s="6" t="s">
        <v>5</v>
      </c>
      <c r="C11" s="6"/>
      <c r="D11" s="6"/>
      <c r="E11" s="7" t="s">
        <v>6</v>
      </c>
      <c r="F11" s="7"/>
      <c r="G11" s="7"/>
      <c r="H11" s="7"/>
      <c r="I11" s="7"/>
      <c r="J11" s="7"/>
      <c r="K11" s="7"/>
      <c r="L11" s="7"/>
    </row>
    <row r="12" customFormat="false" ht="21.75" hidden="false" customHeight="true" outlineLevel="0" collapsed="false">
      <c r="B12" s="6" t="s">
        <v>7</v>
      </c>
      <c r="C12" s="6"/>
      <c r="D12" s="6"/>
      <c r="E12" s="7" t="s">
        <v>8</v>
      </c>
      <c r="F12" s="7"/>
      <c r="G12" s="7"/>
      <c r="H12" s="7"/>
      <c r="I12" s="7"/>
      <c r="J12" s="7"/>
      <c r="K12" s="7"/>
      <c r="L12" s="7"/>
    </row>
    <row r="13" customFormat="false" ht="21.75" hidden="false" customHeight="true" outlineLevel="0" collapsed="false">
      <c r="B13" s="6" t="s">
        <v>9</v>
      </c>
      <c r="C13" s="6"/>
      <c r="D13" s="6"/>
      <c r="E13" s="7" t="s">
        <v>10</v>
      </c>
      <c r="F13" s="7"/>
      <c r="G13" s="7"/>
      <c r="H13" s="7"/>
      <c r="I13" s="7"/>
      <c r="J13" s="7"/>
      <c r="K13" s="7"/>
      <c r="L13" s="7"/>
    </row>
    <row r="14" customFormat="false" ht="21.75" hidden="false" customHeight="true" outlineLevel="0" collapsed="false">
      <c r="B14" s="6" t="s">
        <v>11</v>
      </c>
      <c r="C14" s="6"/>
      <c r="D14" s="6"/>
      <c r="E14" s="7" t="s">
        <v>12</v>
      </c>
      <c r="F14" s="7"/>
      <c r="G14" s="7"/>
      <c r="H14" s="7"/>
      <c r="I14" s="7"/>
      <c r="J14" s="7"/>
      <c r="K14" s="7"/>
      <c r="L14" s="7"/>
    </row>
    <row r="15" customFormat="false" ht="21.75" hidden="false" customHeight="true" outlineLevel="0" collapsed="false">
      <c r="B15" s="6" t="s">
        <v>13</v>
      </c>
      <c r="C15" s="6"/>
      <c r="D15" s="6"/>
      <c r="E15" s="7" t="s">
        <v>14</v>
      </c>
      <c r="F15" s="7"/>
      <c r="G15" s="7"/>
      <c r="H15" s="7"/>
      <c r="I15" s="7"/>
      <c r="J15" s="7"/>
      <c r="K15" s="7"/>
      <c r="L15" s="7"/>
    </row>
    <row r="16" customFormat="false" ht="21.75" hidden="false" customHeight="true" outlineLevel="0" collapsed="false">
      <c r="B16" s="6" t="s">
        <v>15</v>
      </c>
      <c r="C16" s="6"/>
      <c r="D16" s="6"/>
      <c r="E16" s="7" t="s">
        <v>16</v>
      </c>
      <c r="F16" s="7"/>
      <c r="G16" s="7"/>
      <c r="H16" s="7"/>
      <c r="I16" s="7"/>
      <c r="J16" s="7"/>
      <c r="K16" s="7"/>
      <c r="L16" s="7"/>
    </row>
    <row r="17" customFormat="false" ht="21.75" hidden="false" customHeight="true" outlineLevel="0" collapsed="false">
      <c r="B17" s="6" t="s">
        <v>17</v>
      </c>
      <c r="C17" s="6"/>
      <c r="D17" s="6"/>
      <c r="E17" s="7" t="s">
        <v>18</v>
      </c>
      <c r="F17" s="7"/>
      <c r="G17" s="7"/>
      <c r="H17" s="7"/>
      <c r="I17" s="7"/>
      <c r="J17" s="7"/>
      <c r="K17" s="7"/>
      <c r="L17" s="7"/>
    </row>
    <row r="18" customFormat="false" ht="21.75" hidden="false" customHeight="true" outlineLevel="0" collapsed="false">
      <c r="B18" s="6" t="s">
        <v>19</v>
      </c>
      <c r="C18" s="6"/>
      <c r="D18" s="6"/>
      <c r="E18" s="7" t="s">
        <v>20</v>
      </c>
      <c r="F18" s="7"/>
      <c r="G18" s="7"/>
      <c r="H18" s="7"/>
      <c r="I18" s="7"/>
      <c r="J18" s="7"/>
      <c r="K18" s="7"/>
      <c r="L18" s="7"/>
    </row>
    <row r="19" customFormat="false" ht="21.75" hidden="false" customHeight="true" outlineLevel="0" collapsed="false">
      <c r="B19" s="6" t="s">
        <v>21</v>
      </c>
      <c r="C19" s="6"/>
      <c r="D19" s="6"/>
      <c r="E19" s="7" t="s">
        <v>22</v>
      </c>
      <c r="F19" s="7"/>
      <c r="G19" s="7"/>
      <c r="H19" s="7"/>
      <c r="I19" s="7"/>
      <c r="J19" s="7"/>
      <c r="K19" s="7"/>
      <c r="L19" s="7"/>
    </row>
    <row r="20" customFormat="false" ht="9.75" hidden="false" customHeight="true" outlineLevel="0" collapsed="false"/>
    <row r="21" customFormat="false" ht="21.75" hidden="false" customHeight="true" outlineLevel="0" collapsed="false">
      <c r="B21" s="8" t="s">
        <v>23</v>
      </c>
      <c r="C21" s="8"/>
      <c r="D21" s="8"/>
      <c r="E21" s="8"/>
      <c r="F21" s="8"/>
      <c r="G21" s="8"/>
      <c r="H21" s="8"/>
      <c r="I21" s="8"/>
      <c r="J21" s="8"/>
      <c r="K21" s="8"/>
      <c r="L21" s="8"/>
    </row>
    <row r="22" customFormat="false" ht="19.5" hidden="false" customHeight="true" outlineLevel="0" collapsed="false">
      <c r="B22" s="9" t="s">
        <v>24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customFormat="false" ht="19.5" hidden="false" customHeight="true" outlineLevel="0" collapsed="false">
      <c r="B23" s="10" t="s">
        <v>25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customFormat="false" ht="19.5" hidden="false" customHeight="true" outlineLevel="0" collapsed="false">
      <c r="B24" s="9" t="s">
        <v>26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customFormat="false" ht="19.5" hidden="false" customHeight="true" outlineLevel="0" collapsed="false">
      <c r="B25" s="10" t="s">
        <v>27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customFormat="false" ht="19.5" hidden="false" customHeight="true" outlineLevel="0" collapsed="false">
      <c r="B26" s="9" t="s">
        <v>28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customFormat="false" ht="19.5" hidden="false" customHeight="true" outlineLevel="0" collapsed="false">
      <c r="B27" s="10" t="s">
        <v>29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customFormat="false" ht="19.5" hidden="false" customHeight="true" outlineLevel="0" collapsed="false">
      <c r="B28" s="9" t="s">
        <v>30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customFormat="false" ht="19.5" hidden="false" customHeight="true" outlineLevel="0" collapsed="false">
      <c r="B29" s="10" t="s">
        <v>31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1" customFormat="false" ht="21.75" hidden="false" customHeight="true" outlineLevel="0" collapsed="false">
      <c r="B31" s="8" t="s">
        <v>32</v>
      </c>
      <c r="C31" s="8"/>
      <c r="D31" s="8"/>
      <c r="E31" s="8"/>
      <c r="F31" s="8"/>
      <c r="G31" s="8"/>
      <c r="H31" s="8"/>
      <c r="I31" s="8"/>
      <c r="J31" s="8"/>
      <c r="K31" s="8"/>
      <c r="L31" s="8"/>
    </row>
    <row r="32" customFormat="false" ht="19.5" hidden="false" customHeight="true" outlineLevel="0" collapsed="false">
      <c r="B32" s="11" t="s">
        <v>33</v>
      </c>
      <c r="C32" s="11" t="s">
        <v>34</v>
      </c>
      <c r="D32" s="11" t="s">
        <v>35</v>
      </c>
    </row>
    <row r="33" customFormat="false" ht="19.5" hidden="false" customHeight="true" outlineLevel="0" collapsed="false">
      <c r="B33" s="12" t="s">
        <v>36</v>
      </c>
      <c r="C33" s="12" t="s">
        <v>37</v>
      </c>
      <c r="D33" s="12" t="s">
        <v>38</v>
      </c>
    </row>
    <row r="34" customFormat="false" ht="19.5" hidden="false" customHeight="true" outlineLevel="0" collapsed="false">
      <c r="B34" s="13" t="s">
        <v>39</v>
      </c>
      <c r="C34" s="13" t="s">
        <v>40</v>
      </c>
      <c r="D34" s="13" t="s">
        <v>41</v>
      </c>
    </row>
    <row r="35" customFormat="false" ht="19.5" hidden="false" customHeight="true" outlineLevel="0" collapsed="false">
      <c r="B35" s="12" t="s">
        <v>42</v>
      </c>
      <c r="C35" s="12" t="s">
        <v>43</v>
      </c>
      <c r="D35" s="12" t="s">
        <v>44</v>
      </c>
    </row>
    <row r="36" customFormat="false" ht="19.5" hidden="false" customHeight="true" outlineLevel="0" collapsed="false">
      <c r="B36" s="13" t="s">
        <v>45</v>
      </c>
      <c r="C36" s="13" t="s">
        <v>46</v>
      </c>
      <c r="D36" s="13" t="s">
        <v>47</v>
      </c>
    </row>
    <row r="37" customFormat="false" ht="19.5" hidden="false" customHeight="true" outlineLevel="0" collapsed="false">
      <c r="B37" s="12" t="s">
        <v>48</v>
      </c>
      <c r="C37" s="12" t="s">
        <v>49</v>
      </c>
      <c r="D37" s="12" t="s">
        <v>50</v>
      </c>
    </row>
    <row r="38" customFormat="false" ht="19.5" hidden="false" customHeight="true" outlineLevel="0" collapsed="false">
      <c r="B38" s="13" t="s">
        <v>51</v>
      </c>
      <c r="C38" s="13" t="s">
        <v>52</v>
      </c>
      <c r="D38" s="13" t="s">
        <v>53</v>
      </c>
    </row>
    <row r="39" customFormat="false" ht="19.5" hidden="false" customHeight="true" outlineLevel="0" collapsed="false">
      <c r="B39" s="12" t="s">
        <v>54</v>
      </c>
      <c r="C39" s="12" t="s">
        <v>55</v>
      </c>
      <c r="D39" s="12" t="s">
        <v>56</v>
      </c>
    </row>
    <row r="40" customFormat="false" ht="19.5" hidden="false" customHeight="true" outlineLevel="0" collapsed="false">
      <c r="B40" s="13" t="s">
        <v>57</v>
      </c>
      <c r="C40" s="13" t="s">
        <v>58</v>
      </c>
      <c r="D40" s="13" t="s">
        <v>59</v>
      </c>
    </row>
  </sheetData>
  <mergeCells count="33">
    <mergeCell ref="B2:L4"/>
    <mergeCell ref="B5:L5"/>
    <mergeCell ref="B8:L8"/>
    <mergeCell ref="B10:D10"/>
    <mergeCell ref="E10:L10"/>
    <mergeCell ref="B11:D11"/>
    <mergeCell ref="E11:L11"/>
    <mergeCell ref="B12:D12"/>
    <mergeCell ref="E12:L12"/>
    <mergeCell ref="B13:D13"/>
    <mergeCell ref="E13:L13"/>
    <mergeCell ref="B14:D14"/>
    <mergeCell ref="E14:L14"/>
    <mergeCell ref="B15:D15"/>
    <mergeCell ref="E15:L15"/>
    <mergeCell ref="B16:D16"/>
    <mergeCell ref="E16:L16"/>
    <mergeCell ref="B17:D17"/>
    <mergeCell ref="E17:L17"/>
    <mergeCell ref="B18:D18"/>
    <mergeCell ref="E18:L18"/>
    <mergeCell ref="B19:D19"/>
    <mergeCell ref="E19:L19"/>
    <mergeCell ref="B21:L21"/>
    <mergeCell ref="B22:L22"/>
    <mergeCell ref="B23:L23"/>
    <mergeCell ref="B24:L24"/>
    <mergeCell ref="B25:L25"/>
    <mergeCell ref="B26:L26"/>
    <mergeCell ref="B27:L27"/>
    <mergeCell ref="B28:L28"/>
    <mergeCell ref="B29:L29"/>
    <mergeCell ref="B31:L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DA6"/>
    <pageSetUpPr fitToPage="false"/>
  </sheetPr>
  <dimension ref="A1:M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22"/>
  </cols>
  <sheetData>
    <row r="1" customFormat="false" ht="13.5" hidden="false" customHeight="true" outlineLevel="0" collapsed="false">
      <c r="A1" s="1"/>
      <c r="B1" s="14" t="s">
        <v>60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customFormat="false" ht="13.5" hidden="false" customHeight="true" outlineLevel="0" collapsed="false">
      <c r="A2" s="1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customFormat="false" ht="13.5" hidden="false" customHeight="true" outlineLevel="0" collapsed="false">
      <c r="A3" s="1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customFormat="false" ht="18" hidden="false" customHeight="true" outlineLevel="0" collapsed="false">
      <c r="B4" s="15" t="s">
        <v>61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 customFormat="false" ht="3.7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7" customFormat="false" ht="7.5" hidden="false" customHeight="true" outlineLevel="0" collapsed="false"/>
    <row r="8" customFormat="false" ht="21.75" hidden="false" customHeight="true" outlineLevel="0" collapsed="false">
      <c r="B8" s="8" t="s">
        <v>62</v>
      </c>
      <c r="C8" s="8"/>
      <c r="D8" s="8"/>
      <c r="E8" s="8"/>
      <c r="F8" s="8"/>
    </row>
    <row r="9" customFormat="false" ht="19.5" hidden="false" customHeight="true" outlineLevel="0" collapsed="false">
      <c r="B9" s="16" t="s">
        <v>63</v>
      </c>
      <c r="C9" s="16" t="s">
        <v>64</v>
      </c>
      <c r="D9" s="16" t="s">
        <v>65</v>
      </c>
    </row>
    <row r="10" customFormat="false" ht="19.5" hidden="false" customHeight="true" outlineLevel="0" collapsed="false">
      <c r="B10" s="12" t="s">
        <v>66</v>
      </c>
      <c r="C10" s="12" t="s">
        <v>67</v>
      </c>
      <c r="D10" s="12" t="s">
        <v>68</v>
      </c>
    </row>
    <row r="11" customFormat="false" ht="19.5" hidden="false" customHeight="true" outlineLevel="0" collapsed="false">
      <c r="B11" s="13" t="s">
        <v>69</v>
      </c>
      <c r="C11" s="13" t="s">
        <v>70</v>
      </c>
      <c r="D11" s="13" t="s">
        <v>71</v>
      </c>
    </row>
    <row r="12" customFormat="false" ht="19.5" hidden="false" customHeight="true" outlineLevel="0" collapsed="false">
      <c r="B12" s="12" t="s">
        <v>72</v>
      </c>
      <c r="C12" s="12" t="s">
        <v>73</v>
      </c>
      <c r="D12" s="12" t="s">
        <v>74</v>
      </c>
    </row>
    <row r="13" customFormat="false" ht="19.5" hidden="false" customHeight="true" outlineLevel="0" collapsed="false">
      <c r="B13" s="13" t="s">
        <v>75</v>
      </c>
      <c r="C13" s="13" t="s">
        <v>76</v>
      </c>
      <c r="D13" s="13" t="s">
        <v>77</v>
      </c>
    </row>
    <row r="14" customFormat="false" ht="19.5" hidden="false" customHeight="true" outlineLevel="0" collapsed="false">
      <c r="B14" s="12" t="s">
        <v>78</v>
      </c>
      <c r="C14" s="12" t="s">
        <v>79</v>
      </c>
      <c r="D14" s="12" t="s">
        <v>80</v>
      </c>
    </row>
    <row r="15" customFormat="false" ht="19.5" hidden="false" customHeight="true" outlineLevel="0" collapsed="false">
      <c r="B15" s="13" t="s">
        <v>81</v>
      </c>
      <c r="C15" s="13" t="s">
        <v>82</v>
      </c>
      <c r="D15" s="13" t="s">
        <v>83</v>
      </c>
    </row>
    <row r="16" customFormat="false" ht="19.5" hidden="false" customHeight="true" outlineLevel="0" collapsed="false">
      <c r="B16" s="12" t="s">
        <v>84</v>
      </c>
      <c r="C16" s="12" t="s">
        <v>85</v>
      </c>
      <c r="D16" s="12"/>
    </row>
    <row r="17" customFormat="false" ht="7.5" hidden="false" customHeight="true" outlineLevel="0" collapsed="false"/>
    <row r="18" customFormat="false" ht="21.75" hidden="false" customHeight="true" outlineLevel="0" collapsed="false">
      <c r="B18" s="8" t="s">
        <v>86</v>
      </c>
      <c r="C18" s="8"/>
      <c r="D18" s="8"/>
      <c r="E18" s="8"/>
      <c r="F18" s="8"/>
    </row>
    <row r="19" customFormat="false" ht="19.5" hidden="false" customHeight="true" outlineLevel="0" collapsed="false">
      <c r="B19" s="16" t="s">
        <v>63</v>
      </c>
      <c r="C19" s="16" t="s">
        <v>64</v>
      </c>
      <c r="D19" s="16" t="s">
        <v>65</v>
      </c>
    </row>
    <row r="20" customFormat="false" ht="19.5" hidden="false" customHeight="true" outlineLevel="0" collapsed="false">
      <c r="B20" s="12" t="s">
        <v>87</v>
      </c>
      <c r="C20" s="12" t="s">
        <v>88</v>
      </c>
      <c r="D20" s="12" t="s">
        <v>89</v>
      </c>
    </row>
    <row r="21" customFormat="false" ht="19.5" hidden="false" customHeight="true" outlineLevel="0" collapsed="false">
      <c r="B21" s="13" t="s">
        <v>90</v>
      </c>
      <c r="C21" s="13" t="s">
        <v>91</v>
      </c>
      <c r="D21" s="13" t="s">
        <v>92</v>
      </c>
    </row>
    <row r="22" customFormat="false" ht="19.5" hidden="false" customHeight="true" outlineLevel="0" collapsed="false">
      <c r="B22" s="12" t="s">
        <v>93</v>
      </c>
      <c r="C22" s="12" t="s">
        <v>94</v>
      </c>
      <c r="D22" s="12" t="s">
        <v>95</v>
      </c>
    </row>
    <row r="23" customFormat="false" ht="19.5" hidden="false" customHeight="true" outlineLevel="0" collapsed="false">
      <c r="B23" s="13" t="s">
        <v>43</v>
      </c>
      <c r="C23" s="13" t="s">
        <v>96</v>
      </c>
      <c r="D23" s="13" t="s">
        <v>97</v>
      </c>
    </row>
    <row r="24" customFormat="false" ht="19.5" hidden="false" customHeight="true" outlineLevel="0" collapsed="false">
      <c r="B24" s="12" t="s">
        <v>11</v>
      </c>
      <c r="C24" s="12" t="s">
        <v>98</v>
      </c>
      <c r="D24" s="12" t="s">
        <v>99</v>
      </c>
    </row>
    <row r="25" customFormat="false" ht="19.5" hidden="false" customHeight="true" outlineLevel="0" collapsed="false">
      <c r="B25" s="13" t="s">
        <v>100</v>
      </c>
      <c r="C25" s="13" t="s">
        <v>101</v>
      </c>
      <c r="D25" s="13" t="s">
        <v>102</v>
      </c>
    </row>
    <row r="26" customFormat="false" ht="19.5" hidden="false" customHeight="true" outlineLevel="0" collapsed="false">
      <c r="B26" s="12" t="s">
        <v>103</v>
      </c>
      <c r="C26" s="12" t="s">
        <v>104</v>
      </c>
      <c r="D26" s="12" t="s">
        <v>105</v>
      </c>
    </row>
    <row r="27" customFormat="false" ht="19.5" hidden="false" customHeight="true" outlineLevel="0" collapsed="false">
      <c r="B27" s="13" t="s">
        <v>106</v>
      </c>
      <c r="C27" s="13" t="s">
        <v>107</v>
      </c>
      <c r="D27" s="13" t="s">
        <v>108</v>
      </c>
    </row>
    <row r="28" customFormat="false" ht="19.5" hidden="false" customHeight="true" outlineLevel="0" collapsed="false">
      <c r="B28" s="12" t="s">
        <v>109</v>
      </c>
      <c r="C28" s="12" t="s">
        <v>110</v>
      </c>
      <c r="D28" s="12" t="s">
        <v>111</v>
      </c>
    </row>
    <row r="29" customFormat="false" ht="7.5" hidden="false" customHeight="true" outlineLevel="0" collapsed="false"/>
    <row r="30" customFormat="false" ht="21.75" hidden="false" customHeight="true" outlineLevel="0" collapsed="false">
      <c r="B30" s="8" t="s">
        <v>112</v>
      </c>
      <c r="C30" s="8"/>
      <c r="D30" s="8"/>
      <c r="E30" s="8"/>
      <c r="F30" s="8"/>
    </row>
    <row r="31" customFormat="false" ht="19.5" hidden="false" customHeight="true" outlineLevel="0" collapsed="false">
      <c r="B31" s="16" t="s">
        <v>113</v>
      </c>
      <c r="C31" s="16" t="s">
        <v>114</v>
      </c>
      <c r="D31" s="16" t="s">
        <v>115</v>
      </c>
    </row>
    <row r="32" customFormat="false" ht="19.5" hidden="false" customHeight="true" outlineLevel="0" collapsed="false">
      <c r="B32" s="12" t="s">
        <v>116</v>
      </c>
      <c r="C32" s="12" t="s">
        <v>117</v>
      </c>
      <c r="D32" s="12" t="s">
        <v>88</v>
      </c>
    </row>
    <row r="33" customFormat="false" ht="19.5" hidden="false" customHeight="true" outlineLevel="0" collapsed="false">
      <c r="B33" s="13" t="s">
        <v>118</v>
      </c>
      <c r="C33" s="13" t="s">
        <v>119</v>
      </c>
      <c r="D33" s="13" t="s">
        <v>88</v>
      </c>
    </row>
    <row r="34" customFormat="false" ht="19.5" hidden="false" customHeight="true" outlineLevel="0" collapsed="false">
      <c r="B34" s="12" t="s">
        <v>120</v>
      </c>
      <c r="C34" s="12" t="s">
        <v>121</v>
      </c>
      <c r="D34" s="12" t="s">
        <v>88</v>
      </c>
    </row>
    <row r="35" customFormat="false" ht="7.5" hidden="false" customHeight="true" outlineLevel="0" collapsed="false"/>
    <row r="36" customFormat="false" ht="21.75" hidden="false" customHeight="true" outlineLevel="0" collapsed="false">
      <c r="B36" s="8" t="s">
        <v>122</v>
      </c>
      <c r="C36" s="8"/>
      <c r="D36" s="8"/>
      <c r="E36" s="8"/>
      <c r="F36" s="8"/>
    </row>
    <row r="37" customFormat="false" ht="19.5" hidden="false" customHeight="true" outlineLevel="0" collapsed="false">
      <c r="B37" s="16" t="s">
        <v>123</v>
      </c>
      <c r="C37" s="16" t="s">
        <v>124</v>
      </c>
      <c r="D37" s="16" t="s">
        <v>125</v>
      </c>
      <c r="E37" s="16" t="s">
        <v>126</v>
      </c>
      <c r="F37" s="16" t="s">
        <v>127</v>
      </c>
    </row>
    <row r="38" customFormat="false" ht="19.5" hidden="false" customHeight="true" outlineLevel="0" collapsed="false">
      <c r="B38" s="12" t="s">
        <v>128</v>
      </c>
      <c r="C38" s="12" t="s">
        <v>129</v>
      </c>
      <c r="D38" s="12" t="s">
        <v>130</v>
      </c>
      <c r="E38" s="12" t="s">
        <v>131</v>
      </c>
      <c r="F38" s="17" t="s">
        <v>132</v>
      </c>
    </row>
    <row r="39" customFormat="false" ht="19.5" hidden="false" customHeight="true" outlineLevel="0" collapsed="false">
      <c r="B39" s="13" t="s">
        <v>133</v>
      </c>
      <c r="C39" s="13" t="s">
        <v>134</v>
      </c>
      <c r="D39" s="13" t="s">
        <v>135</v>
      </c>
      <c r="E39" s="13" t="s">
        <v>136</v>
      </c>
      <c r="F39" s="17" t="s">
        <v>132</v>
      </c>
    </row>
    <row r="40" customFormat="false" ht="19.5" hidden="false" customHeight="true" outlineLevel="0" collapsed="false">
      <c r="B40" s="12" t="s">
        <v>137</v>
      </c>
      <c r="C40" s="12" t="s">
        <v>138</v>
      </c>
      <c r="D40" s="12" t="s">
        <v>139</v>
      </c>
      <c r="E40" s="12" t="s">
        <v>140</v>
      </c>
      <c r="F40" s="17" t="s">
        <v>132</v>
      </c>
    </row>
    <row r="41" customFormat="false" ht="19.5" hidden="false" customHeight="true" outlineLevel="0" collapsed="false">
      <c r="B41" s="13" t="s">
        <v>141</v>
      </c>
      <c r="C41" s="13" t="s">
        <v>142</v>
      </c>
      <c r="D41" s="13" t="s">
        <v>143</v>
      </c>
      <c r="E41" s="13" t="s">
        <v>144</v>
      </c>
      <c r="F41" s="18" t="s">
        <v>145</v>
      </c>
    </row>
    <row r="42" customFormat="false" ht="19.5" hidden="false" customHeight="true" outlineLevel="0" collapsed="false">
      <c r="B42" s="12" t="s">
        <v>146</v>
      </c>
      <c r="C42" s="12" t="s">
        <v>147</v>
      </c>
      <c r="D42" s="12" t="s">
        <v>148</v>
      </c>
      <c r="E42" s="12" t="s">
        <v>149</v>
      </c>
      <c r="F42" s="19" t="s">
        <v>150</v>
      </c>
    </row>
    <row r="43" customFormat="false" ht="19.5" hidden="false" customHeight="true" outlineLevel="0" collapsed="false">
      <c r="B43" s="13" t="s">
        <v>151</v>
      </c>
      <c r="C43" s="13" t="s">
        <v>152</v>
      </c>
      <c r="D43" s="13" t="s">
        <v>153</v>
      </c>
      <c r="E43" s="13" t="s">
        <v>154</v>
      </c>
      <c r="F43" s="19" t="s">
        <v>150</v>
      </c>
    </row>
  </sheetData>
  <mergeCells count="6">
    <mergeCell ref="B1:M3"/>
    <mergeCell ref="B4:M4"/>
    <mergeCell ref="B8:F8"/>
    <mergeCell ref="B18:F18"/>
    <mergeCell ref="B30:F30"/>
    <mergeCell ref="B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M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36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24"/>
  </cols>
  <sheetData>
    <row r="1" customFormat="false" ht="13.5" hidden="false" customHeight="true" outlineLevel="0" collapsed="false">
      <c r="A1" s="1"/>
      <c r="B1" s="14" t="s">
        <v>155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customFormat="false" ht="13.5" hidden="false" customHeight="true" outlineLevel="0" collapsed="false">
      <c r="A2" s="1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customFormat="false" ht="13.5" hidden="false" customHeight="true" outlineLevel="0" collapsed="false">
      <c r="A3" s="1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customFormat="false" ht="18" hidden="false" customHeight="true" outlineLevel="0" collapsed="false">
      <c r="B4" s="15" t="s">
        <v>156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 customFormat="false" ht="3.7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7" customFormat="false" ht="7.5" hidden="false" customHeight="true" outlineLevel="0" collapsed="false"/>
    <row r="8" customFormat="false" ht="21.75" hidden="false" customHeight="true" outlineLevel="0" collapsed="false">
      <c r="B8" s="8" t="s">
        <v>157</v>
      </c>
      <c r="C8" s="8"/>
      <c r="D8" s="8"/>
      <c r="E8" s="8"/>
      <c r="F8" s="8"/>
      <c r="G8" s="8"/>
      <c r="H8" s="8"/>
    </row>
    <row r="9" customFormat="false" ht="21.75" hidden="false" customHeight="true" outlineLevel="0" collapsed="false">
      <c r="B9" s="16" t="s">
        <v>158</v>
      </c>
      <c r="C9" s="16" t="s">
        <v>159</v>
      </c>
      <c r="D9" s="16" t="s">
        <v>160</v>
      </c>
      <c r="E9" s="16" t="s">
        <v>114</v>
      </c>
      <c r="F9" s="16" t="s">
        <v>161</v>
      </c>
      <c r="G9" s="16" t="s">
        <v>162</v>
      </c>
      <c r="H9" s="16" t="s">
        <v>163</v>
      </c>
    </row>
    <row r="10" customFormat="false" ht="19.5" hidden="false" customHeight="true" outlineLevel="0" collapsed="false">
      <c r="B10" s="20" t="s">
        <v>131</v>
      </c>
      <c r="C10" s="12" t="s">
        <v>164</v>
      </c>
      <c r="D10" s="20" t="s">
        <v>165</v>
      </c>
      <c r="E10" s="12" t="s">
        <v>166</v>
      </c>
      <c r="F10" s="12" t="s">
        <v>167</v>
      </c>
      <c r="G10" s="12" t="s">
        <v>168</v>
      </c>
      <c r="H10" s="20" t="s">
        <v>169</v>
      </c>
    </row>
    <row r="11" customFormat="false" ht="19.5" hidden="false" customHeight="true" outlineLevel="0" collapsed="false">
      <c r="B11" s="21" t="s">
        <v>136</v>
      </c>
      <c r="C11" s="13" t="s">
        <v>170</v>
      </c>
      <c r="D11" s="21" t="s">
        <v>171</v>
      </c>
      <c r="E11" s="13" t="s">
        <v>172</v>
      </c>
      <c r="F11" s="13" t="s">
        <v>173</v>
      </c>
      <c r="G11" s="13" t="s">
        <v>174</v>
      </c>
      <c r="H11" s="21" t="s">
        <v>169</v>
      </c>
    </row>
    <row r="12" customFormat="false" ht="19.5" hidden="false" customHeight="true" outlineLevel="0" collapsed="false">
      <c r="B12" s="20" t="s">
        <v>140</v>
      </c>
      <c r="C12" s="12" t="s">
        <v>175</v>
      </c>
      <c r="D12" s="20" t="s">
        <v>176</v>
      </c>
      <c r="E12" s="12" t="s">
        <v>177</v>
      </c>
      <c r="F12" s="12" t="s">
        <v>178</v>
      </c>
      <c r="G12" s="12" t="s">
        <v>179</v>
      </c>
      <c r="H12" s="20" t="s">
        <v>169</v>
      </c>
    </row>
    <row r="13" customFormat="false" ht="19.5" hidden="false" customHeight="true" outlineLevel="0" collapsed="false">
      <c r="B13" s="21" t="s">
        <v>144</v>
      </c>
      <c r="C13" s="13" t="s">
        <v>180</v>
      </c>
      <c r="D13" s="21" t="s">
        <v>165</v>
      </c>
      <c r="E13" s="13" t="s">
        <v>181</v>
      </c>
      <c r="F13" s="13" t="s">
        <v>182</v>
      </c>
      <c r="G13" s="13" t="s">
        <v>183</v>
      </c>
      <c r="H13" s="21" t="s">
        <v>184</v>
      </c>
    </row>
    <row r="14" customFormat="false" ht="19.5" hidden="false" customHeight="true" outlineLevel="0" collapsed="false">
      <c r="B14" s="20" t="s">
        <v>149</v>
      </c>
      <c r="C14" s="12" t="s">
        <v>185</v>
      </c>
      <c r="D14" s="20" t="s">
        <v>165</v>
      </c>
      <c r="E14" s="12" t="s">
        <v>186</v>
      </c>
      <c r="F14" s="12" t="s">
        <v>187</v>
      </c>
      <c r="G14" s="12" t="s">
        <v>188</v>
      </c>
      <c r="H14" s="20" t="s">
        <v>184</v>
      </c>
    </row>
    <row r="16" customFormat="false" ht="21.75" hidden="false" customHeight="true" outlineLevel="0" collapsed="false">
      <c r="B16" s="8" t="s">
        <v>189</v>
      </c>
      <c r="C16" s="8"/>
      <c r="D16" s="8"/>
      <c r="E16" s="8"/>
      <c r="F16" s="8"/>
      <c r="G16" s="8"/>
      <c r="H16" s="8"/>
    </row>
    <row r="17" customFormat="false" ht="21.75" hidden="false" customHeight="true" outlineLevel="0" collapsed="false">
      <c r="B17" s="16" t="s">
        <v>190</v>
      </c>
      <c r="C17" s="16" t="s">
        <v>191</v>
      </c>
      <c r="D17" s="16" t="s">
        <v>192</v>
      </c>
      <c r="E17" s="16" t="s">
        <v>193</v>
      </c>
      <c r="F17" s="16" t="s">
        <v>194</v>
      </c>
      <c r="G17" s="16" t="s">
        <v>195</v>
      </c>
      <c r="H17" s="16" t="s">
        <v>196</v>
      </c>
    </row>
    <row r="18" customFormat="false" ht="18" hidden="false" customHeight="true" outlineLevel="0" collapsed="false">
      <c r="B18" s="22" t="s">
        <v>197</v>
      </c>
      <c r="C18" s="22" t="s">
        <v>198</v>
      </c>
      <c r="D18" s="22" t="s">
        <v>199</v>
      </c>
      <c r="E18" s="22" t="s">
        <v>55</v>
      </c>
      <c r="F18" s="22" t="s">
        <v>200</v>
      </c>
      <c r="G18" s="23" t="s">
        <v>201</v>
      </c>
      <c r="H18" s="23" t="s">
        <v>169</v>
      </c>
    </row>
    <row r="19" customFormat="false" ht="18" hidden="false" customHeight="true" outlineLevel="0" collapsed="false">
      <c r="B19" s="22" t="s">
        <v>202</v>
      </c>
      <c r="C19" s="22" t="s">
        <v>203</v>
      </c>
      <c r="D19" s="22" t="s">
        <v>199</v>
      </c>
      <c r="E19" s="22" t="s">
        <v>55</v>
      </c>
      <c r="F19" s="22" t="s">
        <v>200</v>
      </c>
      <c r="G19" s="23" t="s">
        <v>201</v>
      </c>
      <c r="H19" s="23" t="s">
        <v>169</v>
      </c>
    </row>
    <row r="20" customFormat="false" ht="18" hidden="false" customHeight="true" outlineLevel="0" collapsed="false">
      <c r="B20" s="22" t="s">
        <v>204</v>
      </c>
      <c r="C20" s="22" t="s">
        <v>205</v>
      </c>
      <c r="D20" s="22" t="s">
        <v>199</v>
      </c>
      <c r="E20" s="22" t="s">
        <v>55</v>
      </c>
      <c r="F20" s="22" t="s">
        <v>200</v>
      </c>
      <c r="G20" s="23" t="s">
        <v>201</v>
      </c>
      <c r="H20" s="23" t="s">
        <v>169</v>
      </c>
    </row>
    <row r="21" customFormat="false" ht="18" hidden="false" customHeight="true" outlineLevel="0" collapsed="false">
      <c r="B21" s="22" t="s">
        <v>206</v>
      </c>
      <c r="C21" s="22" t="s">
        <v>207</v>
      </c>
      <c r="D21" s="22" t="s">
        <v>199</v>
      </c>
      <c r="E21" s="22" t="s">
        <v>55</v>
      </c>
      <c r="F21" s="22" t="s">
        <v>200</v>
      </c>
      <c r="G21" s="23" t="s">
        <v>208</v>
      </c>
      <c r="H21" s="23" t="s">
        <v>169</v>
      </c>
    </row>
    <row r="22" customFormat="false" ht="18" hidden="false" customHeight="true" outlineLevel="0" collapsed="false">
      <c r="B22" s="22" t="s">
        <v>209</v>
      </c>
      <c r="C22" s="22" t="s">
        <v>210</v>
      </c>
      <c r="D22" s="22" t="s">
        <v>199</v>
      </c>
      <c r="E22" s="22" t="s">
        <v>55</v>
      </c>
      <c r="F22" s="22" t="s">
        <v>200</v>
      </c>
      <c r="G22" s="23" t="s">
        <v>201</v>
      </c>
      <c r="H22" s="23" t="s">
        <v>169</v>
      </c>
    </row>
    <row r="23" customFormat="false" ht="18" hidden="false" customHeight="true" outlineLevel="0" collapsed="false">
      <c r="B23" s="22" t="s">
        <v>211</v>
      </c>
      <c r="C23" s="22" t="s">
        <v>212</v>
      </c>
      <c r="D23" s="22" t="s">
        <v>199</v>
      </c>
      <c r="E23" s="22" t="s">
        <v>55</v>
      </c>
      <c r="F23" s="22" t="s">
        <v>200</v>
      </c>
      <c r="G23" s="23" t="s">
        <v>201</v>
      </c>
      <c r="H23" s="23" t="s">
        <v>169</v>
      </c>
    </row>
    <row r="24" customFormat="false" ht="18" hidden="false" customHeight="true" outlineLevel="0" collapsed="false">
      <c r="B24" s="22" t="s">
        <v>213</v>
      </c>
      <c r="C24" s="22" t="s">
        <v>214</v>
      </c>
      <c r="D24" s="22" t="s">
        <v>199</v>
      </c>
      <c r="E24" s="22" t="s">
        <v>55</v>
      </c>
      <c r="F24" s="22" t="s">
        <v>200</v>
      </c>
      <c r="G24" s="23" t="s">
        <v>201</v>
      </c>
      <c r="H24" s="23" t="s">
        <v>169</v>
      </c>
    </row>
    <row r="25" customFormat="false" ht="18" hidden="false" customHeight="true" outlineLevel="0" collapsed="false">
      <c r="B25" s="22" t="s">
        <v>215</v>
      </c>
      <c r="C25" s="22" t="s">
        <v>216</v>
      </c>
      <c r="D25" s="22" t="s">
        <v>199</v>
      </c>
      <c r="E25" s="22" t="s">
        <v>55</v>
      </c>
      <c r="F25" s="22" t="s">
        <v>200</v>
      </c>
      <c r="G25" s="23" t="s">
        <v>201</v>
      </c>
      <c r="H25" s="23" t="s">
        <v>169</v>
      </c>
    </row>
    <row r="26" customFormat="false" ht="18" hidden="false" customHeight="true" outlineLevel="0" collapsed="false">
      <c r="B26" s="22" t="s">
        <v>217</v>
      </c>
      <c r="C26" s="22" t="s">
        <v>218</v>
      </c>
      <c r="D26" s="22" t="s">
        <v>199</v>
      </c>
      <c r="E26" s="22" t="s">
        <v>55</v>
      </c>
      <c r="F26" s="22" t="s">
        <v>200</v>
      </c>
      <c r="G26" s="23" t="s">
        <v>201</v>
      </c>
      <c r="H26" s="23" t="s">
        <v>169</v>
      </c>
    </row>
    <row r="27" customFormat="false" ht="18" hidden="false" customHeight="true" outlineLevel="0" collapsed="false">
      <c r="B27" s="22" t="s">
        <v>219</v>
      </c>
      <c r="C27" s="22" t="s">
        <v>220</v>
      </c>
      <c r="D27" s="22" t="s">
        <v>199</v>
      </c>
      <c r="E27" s="22" t="s">
        <v>55</v>
      </c>
      <c r="F27" s="22" t="s">
        <v>200</v>
      </c>
      <c r="G27" s="23" t="s">
        <v>201</v>
      </c>
      <c r="H27" s="23" t="s">
        <v>169</v>
      </c>
    </row>
    <row r="28" customFormat="false" ht="18" hidden="false" customHeight="true" outlineLevel="0" collapsed="false">
      <c r="B28" s="22" t="s">
        <v>221</v>
      </c>
      <c r="C28" s="22" t="s">
        <v>222</v>
      </c>
      <c r="D28" s="22" t="s">
        <v>199</v>
      </c>
      <c r="E28" s="22" t="s">
        <v>55</v>
      </c>
      <c r="F28" s="22" t="s">
        <v>223</v>
      </c>
      <c r="G28" s="23" t="s">
        <v>201</v>
      </c>
      <c r="H28" s="23" t="s">
        <v>169</v>
      </c>
    </row>
    <row r="29" customFormat="false" ht="18" hidden="false" customHeight="true" outlineLevel="0" collapsed="false">
      <c r="B29" s="22" t="s">
        <v>224</v>
      </c>
      <c r="C29" s="22" t="s">
        <v>225</v>
      </c>
      <c r="D29" s="22" t="s">
        <v>199</v>
      </c>
      <c r="E29" s="22" t="s">
        <v>55</v>
      </c>
      <c r="F29" s="22" t="s">
        <v>223</v>
      </c>
      <c r="G29" s="23" t="s">
        <v>208</v>
      </c>
      <c r="H29" s="23" t="s">
        <v>169</v>
      </c>
    </row>
    <row r="30" customFormat="false" ht="18" hidden="false" customHeight="true" outlineLevel="0" collapsed="false">
      <c r="B30" s="22" t="s">
        <v>226</v>
      </c>
      <c r="C30" s="22" t="s">
        <v>227</v>
      </c>
      <c r="D30" s="22" t="s">
        <v>199</v>
      </c>
      <c r="E30" s="22" t="s">
        <v>55</v>
      </c>
      <c r="F30" s="22" t="s">
        <v>223</v>
      </c>
      <c r="G30" s="23" t="s">
        <v>201</v>
      </c>
      <c r="H30" s="23" t="s">
        <v>169</v>
      </c>
    </row>
    <row r="31" customFormat="false" ht="18" hidden="false" customHeight="true" outlineLevel="0" collapsed="false">
      <c r="B31" s="22" t="s">
        <v>228</v>
      </c>
      <c r="C31" s="22" t="s">
        <v>229</v>
      </c>
      <c r="D31" s="22" t="s">
        <v>199</v>
      </c>
      <c r="E31" s="22" t="s">
        <v>55</v>
      </c>
      <c r="F31" s="22" t="s">
        <v>223</v>
      </c>
      <c r="G31" s="23" t="s">
        <v>208</v>
      </c>
      <c r="H31" s="23" t="s">
        <v>169</v>
      </c>
    </row>
    <row r="32" customFormat="false" ht="18" hidden="false" customHeight="true" outlineLevel="0" collapsed="false">
      <c r="B32" s="22" t="s">
        <v>230</v>
      </c>
      <c r="C32" s="22" t="s">
        <v>231</v>
      </c>
      <c r="D32" s="22" t="s">
        <v>199</v>
      </c>
      <c r="E32" s="22" t="s">
        <v>55</v>
      </c>
      <c r="F32" s="22" t="s">
        <v>223</v>
      </c>
      <c r="G32" s="23" t="s">
        <v>201</v>
      </c>
      <c r="H32" s="23" t="s">
        <v>169</v>
      </c>
    </row>
    <row r="33" customFormat="false" ht="18" hidden="false" customHeight="true" outlineLevel="0" collapsed="false">
      <c r="B33" s="24" t="s">
        <v>232</v>
      </c>
      <c r="C33" s="24" t="s">
        <v>233</v>
      </c>
      <c r="D33" s="24" t="s">
        <v>234</v>
      </c>
      <c r="E33" s="24" t="s">
        <v>55</v>
      </c>
      <c r="F33" s="24" t="s">
        <v>235</v>
      </c>
      <c r="G33" s="25" t="s">
        <v>208</v>
      </c>
      <c r="H33" s="25" t="s">
        <v>169</v>
      </c>
    </row>
    <row r="34" customFormat="false" ht="18" hidden="false" customHeight="true" outlineLevel="0" collapsed="false">
      <c r="B34" s="24" t="s">
        <v>236</v>
      </c>
      <c r="C34" s="24" t="s">
        <v>237</v>
      </c>
      <c r="D34" s="24" t="s">
        <v>234</v>
      </c>
      <c r="E34" s="24" t="s">
        <v>55</v>
      </c>
      <c r="F34" s="24" t="s">
        <v>235</v>
      </c>
      <c r="G34" s="25" t="s">
        <v>208</v>
      </c>
      <c r="H34" s="25" t="s">
        <v>169</v>
      </c>
    </row>
    <row r="35" customFormat="false" ht="18" hidden="false" customHeight="true" outlineLevel="0" collapsed="false">
      <c r="B35" s="24" t="s">
        <v>238</v>
      </c>
      <c r="C35" s="24" t="s">
        <v>239</v>
      </c>
      <c r="D35" s="24" t="s">
        <v>234</v>
      </c>
      <c r="E35" s="24" t="s">
        <v>55</v>
      </c>
      <c r="F35" s="24" t="s">
        <v>235</v>
      </c>
      <c r="G35" s="25" t="s">
        <v>208</v>
      </c>
      <c r="H35" s="25" t="s">
        <v>169</v>
      </c>
    </row>
    <row r="36" customFormat="false" ht="18" hidden="false" customHeight="true" outlineLevel="0" collapsed="false">
      <c r="B36" s="24" t="s">
        <v>240</v>
      </c>
      <c r="C36" s="24" t="s">
        <v>241</v>
      </c>
      <c r="D36" s="24" t="s">
        <v>234</v>
      </c>
      <c r="E36" s="24" t="s">
        <v>55</v>
      </c>
      <c r="F36" s="24" t="s">
        <v>235</v>
      </c>
      <c r="G36" s="25" t="s">
        <v>208</v>
      </c>
      <c r="H36" s="25" t="s">
        <v>169</v>
      </c>
    </row>
    <row r="37" customFormat="false" ht="18" hidden="false" customHeight="true" outlineLevel="0" collapsed="false">
      <c r="B37" s="24" t="s">
        <v>242</v>
      </c>
      <c r="C37" s="24" t="s">
        <v>243</v>
      </c>
      <c r="D37" s="24" t="s">
        <v>234</v>
      </c>
      <c r="E37" s="24" t="s">
        <v>55</v>
      </c>
      <c r="F37" s="24" t="s">
        <v>235</v>
      </c>
      <c r="G37" s="25" t="s">
        <v>208</v>
      </c>
      <c r="H37" s="25" t="s">
        <v>169</v>
      </c>
    </row>
    <row r="38" customFormat="false" ht="18" hidden="false" customHeight="true" outlineLevel="0" collapsed="false">
      <c r="B38" s="24" t="s">
        <v>244</v>
      </c>
      <c r="C38" s="24" t="s">
        <v>245</v>
      </c>
      <c r="D38" s="24" t="s">
        <v>234</v>
      </c>
      <c r="E38" s="24" t="s">
        <v>55</v>
      </c>
      <c r="F38" s="24" t="s">
        <v>235</v>
      </c>
      <c r="G38" s="25" t="s">
        <v>208</v>
      </c>
      <c r="H38" s="25" t="s">
        <v>169</v>
      </c>
    </row>
    <row r="39" customFormat="false" ht="18" hidden="false" customHeight="true" outlineLevel="0" collapsed="false">
      <c r="B39" s="24" t="s">
        <v>246</v>
      </c>
      <c r="C39" s="24" t="s">
        <v>247</v>
      </c>
      <c r="D39" s="24" t="s">
        <v>234</v>
      </c>
      <c r="E39" s="24" t="s">
        <v>55</v>
      </c>
      <c r="F39" s="24" t="s">
        <v>248</v>
      </c>
      <c r="G39" s="25" t="s">
        <v>208</v>
      </c>
      <c r="H39" s="25" t="s">
        <v>169</v>
      </c>
    </row>
    <row r="40" customFormat="false" ht="18" hidden="false" customHeight="true" outlineLevel="0" collapsed="false">
      <c r="B40" s="24" t="s">
        <v>249</v>
      </c>
      <c r="C40" s="24" t="s">
        <v>250</v>
      </c>
      <c r="D40" s="24" t="s">
        <v>234</v>
      </c>
      <c r="E40" s="24" t="s">
        <v>55</v>
      </c>
      <c r="F40" s="24" t="s">
        <v>248</v>
      </c>
      <c r="G40" s="25" t="s">
        <v>208</v>
      </c>
      <c r="H40" s="25" t="s">
        <v>169</v>
      </c>
    </row>
    <row r="41" customFormat="false" ht="18" hidden="false" customHeight="true" outlineLevel="0" collapsed="false">
      <c r="B41" s="24" t="s">
        <v>251</v>
      </c>
      <c r="C41" s="24" t="s">
        <v>103</v>
      </c>
      <c r="D41" s="24" t="s">
        <v>234</v>
      </c>
      <c r="E41" s="24" t="s">
        <v>55</v>
      </c>
      <c r="F41" s="24" t="s">
        <v>252</v>
      </c>
      <c r="G41" s="25" t="s">
        <v>208</v>
      </c>
      <c r="H41" s="25" t="s">
        <v>169</v>
      </c>
    </row>
    <row r="42" customFormat="false" ht="18" hidden="false" customHeight="true" outlineLevel="0" collapsed="false">
      <c r="B42" s="26" t="s">
        <v>253</v>
      </c>
      <c r="C42" s="26" t="s">
        <v>254</v>
      </c>
      <c r="D42" s="26" t="s">
        <v>255</v>
      </c>
      <c r="E42" s="26" t="s">
        <v>55</v>
      </c>
      <c r="F42" s="26" t="s">
        <v>255</v>
      </c>
      <c r="G42" s="27" t="s">
        <v>208</v>
      </c>
      <c r="H42" s="27" t="s">
        <v>169</v>
      </c>
    </row>
    <row r="43" customFormat="false" ht="18" hidden="false" customHeight="true" outlineLevel="0" collapsed="false">
      <c r="B43" s="26" t="s">
        <v>256</v>
      </c>
      <c r="C43" s="26" t="s">
        <v>257</v>
      </c>
      <c r="D43" s="26" t="s">
        <v>255</v>
      </c>
      <c r="E43" s="26" t="s">
        <v>55</v>
      </c>
      <c r="F43" s="26" t="s">
        <v>255</v>
      </c>
      <c r="G43" s="27" t="s">
        <v>208</v>
      </c>
      <c r="H43" s="27" t="s">
        <v>169</v>
      </c>
    </row>
    <row r="44" customFormat="false" ht="18" hidden="false" customHeight="true" outlineLevel="0" collapsed="false">
      <c r="B44" s="26" t="s">
        <v>258</v>
      </c>
      <c r="C44" s="26" t="s">
        <v>259</v>
      </c>
      <c r="D44" s="26" t="s">
        <v>255</v>
      </c>
      <c r="E44" s="26" t="s">
        <v>55</v>
      </c>
      <c r="F44" s="26" t="s">
        <v>255</v>
      </c>
      <c r="G44" s="27" t="s">
        <v>208</v>
      </c>
      <c r="H44" s="27" t="s">
        <v>169</v>
      </c>
    </row>
    <row r="45" customFormat="false" ht="18" hidden="false" customHeight="true" outlineLevel="0" collapsed="false">
      <c r="B45" s="28" t="s">
        <v>260</v>
      </c>
      <c r="C45" s="28" t="s">
        <v>261</v>
      </c>
      <c r="D45" s="28" t="s">
        <v>262</v>
      </c>
      <c r="E45" s="28" t="s">
        <v>263</v>
      </c>
      <c r="F45" s="28" t="s">
        <v>264</v>
      </c>
      <c r="G45" s="29" t="s">
        <v>208</v>
      </c>
      <c r="H45" s="29" t="s">
        <v>169</v>
      </c>
    </row>
    <row r="46" customFormat="false" ht="18" hidden="false" customHeight="true" outlineLevel="0" collapsed="false">
      <c r="B46" s="28" t="s">
        <v>265</v>
      </c>
      <c r="C46" s="28" t="s">
        <v>266</v>
      </c>
      <c r="D46" s="28" t="s">
        <v>262</v>
      </c>
      <c r="E46" s="28" t="s">
        <v>263</v>
      </c>
      <c r="F46" s="28" t="s">
        <v>264</v>
      </c>
      <c r="G46" s="29" t="s">
        <v>208</v>
      </c>
      <c r="H46" s="29" t="s">
        <v>169</v>
      </c>
    </row>
    <row r="47" customFormat="false" ht="18" hidden="false" customHeight="true" outlineLevel="0" collapsed="false">
      <c r="B47" s="28" t="s">
        <v>267</v>
      </c>
      <c r="C47" s="28" t="s">
        <v>268</v>
      </c>
      <c r="D47" s="28" t="s">
        <v>262</v>
      </c>
      <c r="E47" s="28" t="s">
        <v>263</v>
      </c>
      <c r="F47" s="28" t="s">
        <v>264</v>
      </c>
      <c r="G47" s="29" t="s">
        <v>208</v>
      </c>
      <c r="H47" s="29" t="s">
        <v>169</v>
      </c>
    </row>
    <row r="48" customFormat="false" ht="18" hidden="false" customHeight="true" outlineLevel="0" collapsed="false">
      <c r="B48" s="28" t="s">
        <v>269</v>
      </c>
      <c r="C48" s="28" t="s">
        <v>270</v>
      </c>
      <c r="D48" s="28" t="s">
        <v>262</v>
      </c>
      <c r="E48" s="28" t="s">
        <v>263</v>
      </c>
      <c r="F48" s="28" t="s">
        <v>271</v>
      </c>
      <c r="G48" s="29" t="s">
        <v>201</v>
      </c>
      <c r="H48" s="29" t="s">
        <v>169</v>
      </c>
    </row>
    <row r="49" customFormat="false" ht="18" hidden="false" customHeight="true" outlineLevel="0" collapsed="false">
      <c r="B49" s="28" t="s">
        <v>272</v>
      </c>
      <c r="C49" s="28" t="s">
        <v>273</v>
      </c>
      <c r="D49" s="28" t="s">
        <v>262</v>
      </c>
      <c r="E49" s="28" t="s">
        <v>263</v>
      </c>
      <c r="F49" s="28" t="s">
        <v>274</v>
      </c>
      <c r="G49" s="29" t="s">
        <v>208</v>
      </c>
      <c r="H49" s="29" t="s">
        <v>169</v>
      </c>
    </row>
    <row r="50" customFormat="false" ht="18" hidden="false" customHeight="true" outlineLevel="0" collapsed="false">
      <c r="B50" s="30" t="s">
        <v>275</v>
      </c>
      <c r="C50" s="30" t="s">
        <v>276</v>
      </c>
      <c r="D50" s="30" t="s">
        <v>277</v>
      </c>
      <c r="E50" s="30" t="s">
        <v>263</v>
      </c>
      <c r="F50" s="30" t="s">
        <v>278</v>
      </c>
      <c r="G50" s="31" t="s">
        <v>201</v>
      </c>
      <c r="H50" s="31" t="s">
        <v>169</v>
      </c>
    </row>
    <row r="51" customFormat="false" ht="18" hidden="false" customHeight="true" outlineLevel="0" collapsed="false">
      <c r="B51" s="30" t="s">
        <v>279</v>
      </c>
      <c r="C51" s="30" t="s">
        <v>280</v>
      </c>
      <c r="D51" s="30" t="s">
        <v>277</v>
      </c>
      <c r="E51" s="30" t="s">
        <v>263</v>
      </c>
      <c r="F51" s="30" t="s">
        <v>278</v>
      </c>
      <c r="G51" s="31" t="s">
        <v>201</v>
      </c>
      <c r="H51" s="31" t="s">
        <v>169</v>
      </c>
    </row>
    <row r="52" customFormat="false" ht="18" hidden="false" customHeight="true" outlineLevel="0" collapsed="false">
      <c r="B52" s="30" t="s">
        <v>281</v>
      </c>
      <c r="C52" s="30" t="s">
        <v>282</v>
      </c>
      <c r="D52" s="30" t="s">
        <v>277</v>
      </c>
      <c r="E52" s="30" t="s">
        <v>263</v>
      </c>
      <c r="F52" s="30" t="s">
        <v>283</v>
      </c>
      <c r="G52" s="31" t="s">
        <v>201</v>
      </c>
      <c r="H52" s="31" t="s">
        <v>169</v>
      </c>
    </row>
    <row r="53" customFormat="false" ht="18" hidden="false" customHeight="true" outlineLevel="0" collapsed="false">
      <c r="B53" s="30" t="s">
        <v>284</v>
      </c>
      <c r="C53" s="30" t="s">
        <v>285</v>
      </c>
      <c r="D53" s="30" t="s">
        <v>277</v>
      </c>
      <c r="E53" s="30" t="s">
        <v>263</v>
      </c>
      <c r="F53" s="30" t="s">
        <v>283</v>
      </c>
      <c r="G53" s="31" t="s">
        <v>201</v>
      </c>
      <c r="H53" s="31" t="s">
        <v>169</v>
      </c>
    </row>
    <row r="54" customFormat="false" ht="18" hidden="false" customHeight="true" outlineLevel="0" collapsed="false">
      <c r="B54" s="30" t="s">
        <v>286</v>
      </c>
      <c r="C54" s="30" t="s">
        <v>287</v>
      </c>
      <c r="D54" s="30" t="s">
        <v>277</v>
      </c>
      <c r="E54" s="30" t="s">
        <v>263</v>
      </c>
      <c r="F54" s="30" t="s">
        <v>283</v>
      </c>
      <c r="G54" s="31" t="s">
        <v>201</v>
      </c>
      <c r="H54" s="31" t="s">
        <v>169</v>
      </c>
    </row>
    <row r="55" customFormat="false" ht="18" hidden="false" customHeight="true" outlineLevel="0" collapsed="false">
      <c r="B55" s="30" t="s">
        <v>288</v>
      </c>
      <c r="C55" s="30" t="s">
        <v>289</v>
      </c>
      <c r="D55" s="30" t="s">
        <v>277</v>
      </c>
      <c r="E55" s="30" t="s">
        <v>263</v>
      </c>
      <c r="F55" s="30" t="s">
        <v>283</v>
      </c>
      <c r="G55" s="31" t="s">
        <v>201</v>
      </c>
      <c r="H55" s="31" t="s">
        <v>169</v>
      </c>
    </row>
    <row r="56" customFormat="false" ht="18" hidden="false" customHeight="true" outlineLevel="0" collapsed="false">
      <c r="B56" s="30" t="s">
        <v>290</v>
      </c>
      <c r="C56" s="30" t="s">
        <v>291</v>
      </c>
      <c r="D56" s="30" t="s">
        <v>277</v>
      </c>
      <c r="E56" s="30" t="s">
        <v>263</v>
      </c>
      <c r="F56" s="30" t="s">
        <v>283</v>
      </c>
      <c r="G56" s="31" t="s">
        <v>201</v>
      </c>
      <c r="H56" s="31" t="s">
        <v>169</v>
      </c>
    </row>
    <row r="57" customFormat="false" ht="18" hidden="false" customHeight="true" outlineLevel="0" collapsed="false">
      <c r="B57" s="30" t="s">
        <v>292</v>
      </c>
      <c r="C57" s="30" t="s">
        <v>293</v>
      </c>
      <c r="D57" s="30" t="s">
        <v>277</v>
      </c>
      <c r="E57" s="30" t="s">
        <v>263</v>
      </c>
      <c r="F57" s="30" t="s">
        <v>294</v>
      </c>
      <c r="G57" s="31" t="s">
        <v>201</v>
      </c>
      <c r="H57" s="31" t="s">
        <v>169</v>
      </c>
    </row>
    <row r="58" customFormat="false" ht="18" hidden="false" customHeight="true" outlineLevel="0" collapsed="false">
      <c r="B58" s="30" t="s">
        <v>295</v>
      </c>
      <c r="C58" s="30" t="s">
        <v>296</v>
      </c>
      <c r="D58" s="30" t="s">
        <v>277</v>
      </c>
      <c r="E58" s="30" t="s">
        <v>263</v>
      </c>
      <c r="F58" s="30" t="s">
        <v>283</v>
      </c>
      <c r="G58" s="31" t="s">
        <v>201</v>
      </c>
      <c r="H58" s="31" t="s">
        <v>169</v>
      </c>
    </row>
    <row r="59" customFormat="false" ht="18" hidden="false" customHeight="true" outlineLevel="0" collapsed="false">
      <c r="B59" s="30" t="s">
        <v>297</v>
      </c>
      <c r="C59" s="30" t="s">
        <v>298</v>
      </c>
      <c r="D59" s="30" t="s">
        <v>277</v>
      </c>
      <c r="E59" s="30" t="s">
        <v>263</v>
      </c>
      <c r="F59" s="30" t="s">
        <v>283</v>
      </c>
      <c r="G59" s="31" t="s">
        <v>201</v>
      </c>
      <c r="H59" s="31" t="s">
        <v>169</v>
      </c>
    </row>
    <row r="60" customFormat="false" ht="18" hidden="false" customHeight="true" outlineLevel="0" collapsed="false">
      <c r="B60" s="30" t="s">
        <v>299</v>
      </c>
      <c r="C60" s="30" t="s">
        <v>300</v>
      </c>
      <c r="D60" s="30" t="s">
        <v>277</v>
      </c>
      <c r="E60" s="30" t="s">
        <v>263</v>
      </c>
      <c r="F60" s="30" t="s">
        <v>301</v>
      </c>
      <c r="G60" s="31" t="s">
        <v>201</v>
      </c>
      <c r="H60" s="31" t="s">
        <v>169</v>
      </c>
    </row>
    <row r="61" customFormat="false" ht="18" hidden="false" customHeight="true" outlineLevel="0" collapsed="false">
      <c r="B61" s="30" t="s">
        <v>302</v>
      </c>
      <c r="C61" s="30" t="s">
        <v>303</v>
      </c>
      <c r="D61" s="30" t="s">
        <v>277</v>
      </c>
      <c r="E61" s="30" t="s">
        <v>263</v>
      </c>
      <c r="F61" s="30" t="s">
        <v>304</v>
      </c>
      <c r="G61" s="31" t="s">
        <v>201</v>
      </c>
      <c r="H61" s="31" t="s">
        <v>169</v>
      </c>
    </row>
    <row r="63" customFormat="false" ht="19.5" hidden="false" customHeight="true" outlineLevel="0" collapsed="false">
      <c r="B63" s="32" t="s">
        <v>305</v>
      </c>
      <c r="C63" s="32"/>
      <c r="D63" s="32"/>
      <c r="E63" s="32"/>
      <c r="F63" s="32"/>
      <c r="G63" s="32"/>
      <c r="H63" s="32"/>
    </row>
    <row r="64" customFormat="false" ht="18" hidden="false" customHeight="true" outlineLevel="0" collapsed="false">
      <c r="B64" s="33" t="s">
        <v>306</v>
      </c>
      <c r="C64" s="33"/>
      <c r="D64" s="33"/>
      <c r="E64" s="33"/>
      <c r="F64" s="33"/>
      <c r="G64" s="33"/>
      <c r="H64" s="33"/>
    </row>
    <row r="65" customFormat="false" ht="18" hidden="false" customHeight="true" outlineLevel="0" collapsed="false">
      <c r="B65" s="34" t="s">
        <v>307</v>
      </c>
      <c r="C65" s="34"/>
      <c r="D65" s="34"/>
      <c r="E65" s="34"/>
      <c r="F65" s="34"/>
      <c r="G65" s="34"/>
      <c r="H65" s="34"/>
    </row>
    <row r="66" customFormat="false" ht="18" hidden="false" customHeight="true" outlineLevel="0" collapsed="false">
      <c r="B66" s="35" t="s">
        <v>308</v>
      </c>
      <c r="C66" s="35"/>
      <c r="D66" s="35"/>
      <c r="E66" s="35"/>
      <c r="F66" s="35"/>
      <c r="G66" s="35"/>
      <c r="H66" s="35"/>
    </row>
    <row r="67" customFormat="false" ht="18" hidden="false" customHeight="true" outlineLevel="0" collapsed="false">
      <c r="B67" s="36" t="s">
        <v>309</v>
      </c>
      <c r="C67" s="36"/>
      <c r="D67" s="36"/>
      <c r="E67" s="36"/>
      <c r="F67" s="36"/>
      <c r="G67" s="36"/>
      <c r="H67" s="36"/>
    </row>
    <row r="68" customFormat="false" ht="18" hidden="false" customHeight="true" outlineLevel="0" collapsed="false">
      <c r="B68" s="37" t="s">
        <v>310</v>
      </c>
      <c r="C68" s="37"/>
      <c r="D68" s="37"/>
      <c r="E68" s="37"/>
      <c r="F68" s="37"/>
      <c r="G68" s="37"/>
      <c r="H68" s="37"/>
    </row>
  </sheetData>
  <mergeCells count="10">
    <mergeCell ref="B1:M3"/>
    <mergeCell ref="B4:M4"/>
    <mergeCell ref="B8:H8"/>
    <mergeCell ref="B16:H16"/>
    <mergeCell ref="B63:H63"/>
    <mergeCell ref="B64:H64"/>
    <mergeCell ref="B65:H65"/>
    <mergeCell ref="B66:H66"/>
    <mergeCell ref="B67:H67"/>
    <mergeCell ref="B68:H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M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9" min="7" style="0" width="16"/>
    <col collapsed="false" customWidth="true" hidden="false" outlineLevel="0" max="10" min="10" style="0" width="14"/>
    <col collapsed="false" customWidth="true" hidden="false" outlineLevel="0" max="11" min="11" style="0" width="18"/>
  </cols>
  <sheetData>
    <row r="1" customFormat="false" ht="13.5" hidden="false" customHeight="true" outlineLevel="0" collapsed="false">
      <c r="A1" s="1"/>
      <c r="B1" s="14" t="s">
        <v>311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customFormat="false" ht="13.5" hidden="false" customHeight="true" outlineLevel="0" collapsed="false">
      <c r="A2" s="1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customFormat="false" ht="13.5" hidden="false" customHeight="true" outlineLevel="0" collapsed="false">
      <c r="A3" s="1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customFormat="false" ht="18" hidden="false" customHeight="true" outlineLevel="0" collapsed="false">
      <c r="B4" s="15" t="s">
        <v>312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 customFormat="false" ht="3.7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7" customFormat="false" ht="7.5" hidden="false" customHeight="true" outlineLevel="0" collapsed="false"/>
    <row r="8" customFormat="false" ht="24" hidden="false" customHeight="true" outlineLevel="0" collapsed="false">
      <c r="B8" s="16" t="s">
        <v>313</v>
      </c>
      <c r="C8" s="16" t="s">
        <v>314</v>
      </c>
      <c r="D8" s="16" t="s">
        <v>190</v>
      </c>
      <c r="E8" s="16" t="s">
        <v>191</v>
      </c>
      <c r="F8" s="16" t="s">
        <v>170</v>
      </c>
      <c r="G8" s="16" t="s">
        <v>315</v>
      </c>
      <c r="H8" s="16" t="s">
        <v>316</v>
      </c>
      <c r="I8" s="16" t="s">
        <v>317</v>
      </c>
      <c r="J8" s="16" t="s">
        <v>318</v>
      </c>
      <c r="K8" s="16" t="s">
        <v>319</v>
      </c>
    </row>
    <row r="9" customFormat="false" ht="18" hidden="false" customHeight="true" outlineLevel="0" collapsed="false">
      <c r="B9" s="38" t="s">
        <v>320</v>
      </c>
      <c r="C9" s="12" t="s">
        <v>129</v>
      </c>
      <c r="D9" s="12" t="s">
        <v>321</v>
      </c>
      <c r="E9" s="12" t="s">
        <v>322</v>
      </c>
      <c r="F9" s="12" t="s">
        <v>323</v>
      </c>
      <c r="G9" s="39" t="n">
        <v>1200000</v>
      </c>
      <c r="H9" s="40"/>
      <c r="I9" s="40"/>
      <c r="J9" s="12" t="s">
        <v>128</v>
      </c>
      <c r="K9" s="12" t="s">
        <v>324</v>
      </c>
    </row>
    <row r="10" customFormat="false" ht="18" hidden="false" customHeight="true" outlineLevel="0" collapsed="false">
      <c r="B10" s="12" t="s">
        <v>320</v>
      </c>
      <c r="C10" s="12" t="s">
        <v>129</v>
      </c>
      <c r="D10" s="12" t="s">
        <v>325</v>
      </c>
      <c r="E10" s="12" t="s">
        <v>326</v>
      </c>
      <c r="F10" s="12" t="s">
        <v>323</v>
      </c>
      <c r="G10" s="39" t="n">
        <v>850000</v>
      </c>
      <c r="H10" s="40"/>
      <c r="I10" s="40"/>
      <c r="J10" s="12" t="s">
        <v>128</v>
      </c>
      <c r="K10" s="12" t="s">
        <v>327</v>
      </c>
    </row>
    <row r="11" customFormat="false" ht="18" hidden="false" customHeight="true" outlineLevel="0" collapsed="false">
      <c r="B11" s="13" t="s">
        <v>320</v>
      </c>
      <c r="C11" s="13" t="s">
        <v>129</v>
      </c>
      <c r="D11" s="13" t="s">
        <v>328</v>
      </c>
      <c r="E11" s="13" t="s">
        <v>210</v>
      </c>
      <c r="F11" s="13" t="s">
        <v>323</v>
      </c>
      <c r="G11" s="41" t="n">
        <v>620000</v>
      </c>
      <c r="H11" s="42"/>
      <c r="I11" s="42"/>
      <c r="J11" s="13" t="s">
        <v>128</v>
      </c>
      <c r="K11" s="13" t="s">
        <v>329</v>
      </c>
    </row>
    <row r="12" customFormat="false" ht="18" hidden="false" customHeight="true" outlineLevel="0" collapsed="false">
      <c r="B12" s="13" t="s">
        <v>320</v>
      </c>
      <c r="C12" s="13" t="s">
        <v>129</v>
      </c>
      <c r="D12" s="13" t="s">
        <v>330</v>
      </c>
      <c r="E12" s="13" t="s">
        <v>257</v>
      </c>
      <c r="F12" s="13" t="s">
        <v>323</v>
      </c>
      <c r="G12" s="42"/>
      <c r="H12" s="41" t="n">
        <v>2670000</v>
      </c>
      <c r="I12" s="42"/>
      <c r="J12" s="13" t="s">
        <v>128</v>
      </c>
      <c r="K12" s="13" t="s">
        <v>331</v>
      </c>
    </row>
    <row r="13" customFormat="false" ht="18" hidden="false" customHeight="true" outlineLevel="0" collapsed="false">
      <c r="B13" s="38" t="s">
        <v>332</v>
      </c>
      <c r="C13" s="12" t="s">
        <v>333</v>
      </c>
      <c r="D13" s="12" t="s">
        <v>334</v>
      </c>
      <c r="E13" s="12" t="s">
        <v>335</v>
      </c>
      <c r="F13" s="12" t="s">
        <v>336</v>
      </c>
      <c r="G13" s="39" t="n">
        <v>580000</v>
      </c>
      <c r="H13" s="40"/>
      <c r="I13" s="40"/>
      <c r="J13" s="12" t="s">
        <v>128</v>
      </c>
      <c r="K13" s="12" t="s">
        <v>337</v>
      </c>
    </row>
    <row r="14" customFormat="false" ht="18" hidden="false" customHeight="true" outlineLevel="0" collapsed="false">
      <c r="B14" s="12" t="s">
        <v>332</v>
      </c>
      <c r="C14" s="12" t="s">
        <v>333</v>
      </c>
      <c r="D14" s="12" t="s">
        <v>338</v>
      </c>
      <c r="E14" s="12" t="s">
        <v>261</v>
      </c>
      <c r="F14" s="12" t="s">
        <v>336</v>
      </c>
      <c r="G14" s="40"/>
      <c r="H14" s="39" t="n">
        <v>492373</v>
      </c>
      <c r="I14" s="40"/>
      <c r="J14" s="12" t="s">
        <v>128</v>
      </c>
      <c r="K14" s="12" t="s">
        <v>339</v>
      </c>
    </row>
    <row r="15" customFormat="false" ht="18" hidden="false" customHeight="true" outlineLevel="0" collapsed="false">
      <c r="B15" s="13" t="s">
        <v>332</v>
      </c>
      <c r="C15" s="13" t="s">
        <v>333</v>
      </c>
      <c r="D15" s="13" t="s">
        <v>340</v>
      </c>
      <c r="E15" s="13" t="s">
        <v>239</v>
      </c>
      <c r="F15" s="13" t="s">
        <v>336</v>
      </c>
      <c r="G15" s="42"/>
      <c r="H15" s="41" t="n">
        <v>87627</v>
      </c>
      <c r="I15" s="42"/>
      <c r="J15" s="13" t="s">
        <v>128</v>
      </c>
      <c r="K15" s="13" t="s">
        <v>341</v>
      </c>
    </row>
    <row r="16" customFormat="false" ht="18" hidden="false" customHeight="true" outlineLevel="0" collapsed="false">
      <c r="B16" s="43" t="s">
        <v>342</v>
      </c>
      <c r="C16" s="13" t="s">
        <v>333</v>
      </c>
      <c r="D16" s="13" t="s">
        <v>343</v>
      </c>
      <c r="E16" s="13" t="s">
        <v>344</v>
      </c>
      <c r="F16" s="13" t="s">
        <v>323</v>
      </c>
      <c r="G16" s="41" t="n">
        <v>295000</v>
      </c>
      <c r="H16" s="42"/>
      <c r="I16" s="42"/>
      <c r="J16" s="13" t="s">
        <v>128</v>
      </c>
      <c r="K16" s="13" t="s">
        <v>345</v>
      </c>
    </row>
    <row r="17" customFormat="false" ht="18" hidden="false" customHeight="true" outlineLevel="0" collapsed="false">
      <c r="B17" s="12" t="s">
        <v>342</v>
      </c>
      <c r="C17" s="12" t="s">
        <v>333</v>
      </c>
      <c r="D17" s="12" t="s">
        <v>346</v>
      </c>
      <c r="E17" s="12" t="s">
        <v>214</v>
      </c>
      <c r="F17" s="12" t="s">
        <v>323</v>
      </c>
      <c r="G17" s="40"/>
      <c r="H17" s="39" t="n">
        <v>295000</v>
      </c>
      <c r="I17" s="40"/>
      <c r="J17" s="12" t="s">
        <v>128</v>
      </c>
      <c r="K17" s="12" t="s">
        <v>347</v>
      </c>
    </row>
    <row r="18" customFormat="false" ht="18" hidden="false" customHeight="true" outlineLevel="0" collapsed="false">
      <c r="B18" s="38" t="s">
        <v>348</v>
      </c>
      <c r="C18" s="12" t="s">
        <v>130</v>
      </c>
      <c r="D18" s="12" t="s">
        <v>349</v>
      </c>
      <c r="E18" s="12" t="s">
        <v>282</v>
      </c>
      <c r="F18" s="12" t="s">
        <v>323</v>
      </c>
      <c r="G18" s="39" t="n">
        <v>280000</v>
      </c>
      <c r="H18" s="40"/>
      <c r="I18" s="40"/>
      <c r="J18" s="12" t="s">
        <v>128</v>
      </c>
      <c r="K18" s="12" t="s">
        <v>350</v>
      </c>
    </row>
    <row r="19" customFormat="false" ht="18" hidden="false" customHeight="true" outlineLevel="0" collapsed="false">
      <c r="B19" s="13" t="s">
        <v>348</v>
      </c>
      <c r="C19" s="13" t="s">
        <v>130</v>
      </c>
      <c r="D19" s="13" t="s">
        <v>351</v>
      </c>
      <c r="E19" s="13" t="s">
        <v>282</v>
      </c>
      <c r="F19" s="13" t="s">
        <v>336</v>
      </c>
      <c r="G19" s="41" t="n">
        <v>120000</v>
      </c>
      <c r="H19" s="42"/>
      <c r="I19" s="42"/>
      <c r="J19" s="13" t="s">
        <v>128</v>
      </c>
      <c r="K19" s="13" t="s">
        <v>352</v>
      </c>
    </row>
    <row r="20" customFormat="false" ht="18" hidden="false" customHeight="true" outlineLevel="0" collapsed="false">
      <c r="B20" s="13" t="s">
        <v>348</v>
      </c>
      <c r="C20" s="13" t="s">
        <v>130</v>
      </c>
      <c r="D20" s="13" t="s">
        <v>353</v>
      </c>
      <c r="E20" s="13" t="s">
        <v>282</v>
      </c>
      <c r="F20" s="13" t="s">
        <v>354</v>
      </c>
      <c r="G20" s="41" t="n">
        <v>80000</v>
      </c>
      <c r="H20" s="42"/>
      <c r="I20" s="42"/>
      <c r="J20" s="13" t="s">
        <v>128</v>
      </c>
      <c r="K20" s="13" t="s">
        <v>355</v>
      </c>
    </row>
    <row r="21" customFormat="false" ht="18" hidden="false" customHeight="true" outlineLevel="0" collapsed="false">
      <c r="B21" s="12" t="s">
        <v>348</v>
      </c>
      <c r="C21" s="12" t="s">
        <v>130</v>
      </c>
      <c r="D21" s="12" t="s">
        <v>356</v>
      </c>
      <c r="E21" s="12" t="s">
        <v>241</v>
      </c>
      <c r="F21" s="12" t="s">
        <v>323</v>
      </c>
      <c r="G21" s="40"/>
      <c r="H21" s="39" t="n">
        <v>48000</v>
      </c>
      <c r="I21" s="40"/>
      <c r="J21" s="12" t="s">
        <v>128</v>
      </c>
      <c r="K21" s="12" t="s">
        <v>357</v>
      </c>
    </row>
    <row r="22" customFormat="false" ht="18" hidden="false" customHeight="true" outlineLevel="0" collapsed="false">
      <c r="B22" s="12" t="s">
        <v>348</v>
      </c>
      <c r="C22" s="12" t="s">
        <v>130</v>
      </c>
      <c r="D22" s="12" t="s">
        <v>321</v>
      </c>
      <c r="E22" s="12" t="s">
        <v>322</v>
      </c>
      <c r="F22" s="12" t="s">
        <v>323</v>
      </c>
      <c r="G22" s="40"/>
      <c r="H22" s="39" t="n">
        <v>432000</v>
      </c>
      <c r="I22" s="40"/>
      <c r="J22" s="12" t="s">
        <v>128</v>
      </c>
      <c r="K22" s="12" t="s">
        <v>358</v>
      </c>
    </row>
    <row r="23" customFormat="false" ht="18" hidden="false" customHeight="true" outlineLevel="0" collapsed="false">
      <c r="B23" s="43" t="s">
        <v>359</v>
      </c>
      <c r="C23" s="13" t="s">
        <v>130</v>
      </c>
      <c r="D23" s="13" t="s">
        <v>360</v>
      </c>
      <c r="E23" s="13" t="s">
        <v>287</v>
      </c>
      <c r="F23" s="13" t="s">
        <v>323</v>
      </c>
      <c r="G23" s="41" t="n">
        <v>75000</v>
      </c>
      <c r="H23" s="42"/>
      <c r="I23" s="42"/>
      <c r="J23" s="13" t="s">
        <v>128</v>
      </c>
      <c r="K23" s="13" t="s">
        <v>361</v>
      </c>
    </row>
    <row r="24" customFormat="false" ht="18" hidden="false" customHeight="true" outlineLevel="0" collapsed="false">
      <c r="B24" s="13" t="s">
        <v>359</v>
      </c>
      <c r="C24" s="13" t="s">
        <v>130</v>
      </c>
      <c r="D24" s="13" t="s">
        <v>362</v>
      </c>
      <c r="E24" s="13" t="s">
        <v>289</v>
      </c>
      <c r="F24" s="13" t="s">
        <v>354</v>
      </c>
      <c r="G24" s="41" t="n">
        <v>35000</v>
      </c>
      <c r="H24" s="42"/>
      <c r="I24" s="42"/>
      <c r="J24" s="13" t="s">
        <v>128</v>
      </c>
      <c r="K24" s="13" t="s">
        <v>363</v>
      </c>
    </row>
    <row r="25" customFormat="false" ht="18" hidden="false" customHeight="true" outlineLevel="0" collapsed="false">
      <c r="B25" s="12" t="s">
        <v>359</v>
      </c>
      <c r="C25" s="12" t="s">
        <v>130</v>
      </c>
      <c r="D25" s="12" t="s">
        <v>321</v>
      </c>
      <c r="E25" s="12" t="s">
        <v>322</v>
      </c>
      <c r="F25" s="12" t="s">
        <v>323</v>
      </c>
      <c r="G25" s="40"/>
      <c r="H25" s="39" t="n">
        <v>110000</v>
      </c>
      <c r="I25" s="40"/>
      <c r="J25" s="12" t="s">
        <v>128</v>
      </c>
      <c r="K25" s="12" t="s">
        <v>364</v>
      </c>
    </row>
    <row r="26" customFormat="false" ht="18" hidden="false" customHeight="true" outlineLevel="0" collapsed="false">
      <c r="B26" s="38" t="s">
        <v>365</v>
      </c>
      <c r="C26" s="12" t="s">
        <v>130</v>
      </c>
      <c r="D26" s="12" t="s">
        <v>366</v>
      </c>
      <c r="E26" s="12" t="s">
        <v>293</v>
      </c>
      <c r="F26" s="12" t="s">
        <v>323</v>
      </c>
      <c r="G26" s="39" t="n">
        <v>42000</v>
      </c>
      <c r="H26" s="40"/>
      <c r="I26" s="40"/>
      <c r="J26" s="12" t="s">
        <v>128</v>
      </c>
      <c r="K26" s="12" t="s">
        <v>367</v>
      </c>
    </row>
    <row r="27" customFormat="false" ht="18" hidden="false" customHeight="true" outlineLevel="0" collapsed="false">
      <c r="B27" s="13" t="s">
        <v>365</v>
      </c>
      <c r="C27" s="13" t="s">
        <v>130</v>
      </c>
      <c r="D27" s="13" t="s">
        <v>368</v>
      </c>
      <c r="E27" s="13" t="s">
        <v>369</v>
      </c>
      <c r="F27" s="13" t="s">
        <v>323</v>
      </c>
      <c r="G27" s="42"/>
      <c r="H27" s="41" t="n">
        <v>42000</v>
      </c>
      <c r="I27" s="42"/>
      <c r="J27" s="13" t="s">
        <v>128</v>
      </c>
      <c r="K27" s="13" t="s">
        <v>370</v>
      </c>
    </row>
    <row r="28" customFormat="false" ht="18" hidden="false" customHeight="true" outlineLevel="0" collapsed="false">
      <c r="B28" s="43" t="s">
        <v>371</v>
      </c>
      <c r="C28" s="13" t="s">
        <v>372</v>
      </c>
      <c r="D28" s="13" t="s">
        <v>373</v>
      </c>
      <c r="E28" s="13" t="s">
        <v>374</v>
      </c>
      <c r="F28" s="13" t="s">
        <v>336</v>
      </c>
      <c r="G28" s="41" t="n">
        <v>236000</v>
      </c>
      <c r="H28" s="42"/>
      <c r="I28" s="42"/>
      <c r="J28" s="13" t="s">
        <v>133</v>
      </c>
      <c r="K28" s="13" t="s">
        <v>375</v>
      </c>
    </row>
    <row r="29" customFormat="false" ht="18" hidden="false" customHeight="true" outlineLevel="0" collapsed="false">
      <c r="B29" s="12" t="s">
        <v>371</v>
      </c>
      <c r="C29" s="12" t="s">
        <v>372</v>
      </c>
      <c r="D29" s="12" t="s">
        <v>376</v>
      </c>
      <c r="E29" s="12" t="s">
        <v>266</v>
      </c>
      <c r="F29" s="12" t="s">
        <v>336</v>
      </c>
      <c r="G29" s="40"/>
      <c r="H29" s="39" t="n">
        <v>200000</v>
      </c>
      <c r="I29" s="40"/>
      <c r="J29" s="12" t="s">
        <v>133</v>
      </c>
      <c r="K29" s="12" t="s">
        <v>339</v>
      </c>
    </row>
    <row r="30" customFormat="false" ht="18" hidden="false" customHeight="true" outlineLevel="0" collapsed="false">
      <c r="B30" s="12" t="s">
        <v>371</v>
      </c>
      <c r="C30" s="12" t="s">
        <v>372</v>
      </c>
      <c r="D30" s="12" t="s">
        <v>340</v>
      </c>
      <c r="E30" s="12" t="s">
        <v>239</v>
      </c>
      <c r="F30" s="12" t="s">
        <v>336</v>
      </c>
      <c r="G30" s="40"/>
      <c r="H30" s="39" t="n">
        <v>36000</v>
      </c>
      <c r="I30" s="40"/>
      <c r="J30" s="12" t="s">
        <v>133</v>
      </c>
      <c r="K30" s="12" t="s">
        <v>377</v>
      </c>
    </row>
    <row r="31" customFormat="false" ht="18" hidden="false" customHeight="true" outlineLevel="0" collapsed="false">
      <c r="B31" s="43" t="s">
        <v>378</v>
      </c>
      <c r="C31" s="13" t="s">
        <v>379</v>
      </c>
      <c r="D31" s="13" t="s">
        <v>321</v>
      </c>
      <c r="E31" s="13" t="s">
        <v>322</v>
      </c>
      <c r="F31" s="13" t="s">
        <v>323</v>
      </c>
      <c r="G31" s="41" t="n">
        <v>580000</v>
      </c>
      <c r="H31" s="42"/>
      <c r="I31" s="42"/>
      <c r="J31" s="13" t="s">
        <v>133</v>
      </c>
      <c r="K31" s="13" t="s">
        <v>380</v>
      </c>
    </row>
    <row r="32" customFormat="false" ht="18" hidden="false" customHeight="true" outlineLevel="0" collapsed="false">
      <c r="B32" s="13" t="s">
        <v>378</v>
      </c>
      <c r="C32" s="13" t="s">
        <v>379</v>
      </c>
      <c r="D32" s="13" t="s">
        <v>334</v>
      </c>
      <c r="E32" s="13" t="s">
        <v>381</v>
      </c>
      <c r="F32" s="13" t="s">
        <v>336</v>
      </c>
      <c r="G32" s="42"/>
      <c r="H32" s="41" t="n">
        <v>580000</v>
      </c>
      <c r="I32" s="42"/>
      <c r="J32" s="13" t="s">
        <v>133</v>
      </c>
      <c r="K32" s="13" t="s">
        <v>382</v>
      </c>
    </row>
    <row r="33" customFormat="false" ht="18" hidden="false" customHeight="true" outlineLevel="0" collapsed="false">
      <c r="B33" s="38" t="s">
        <v>383</v>
      </c>
      <c r="C33" s="12" t="s">
        <v>384</v>
      </c>
      <c r="D33" s="12" t="s">
        <v>328</v>
      </c>
      <c r="E33" s="12" t="s">
        <v>210</v>
      </c>
      <c r="F33" s="12" t="s">
        <v>323</v>
      </c>
      <c r="G33" s="39" t="n">
        <v>350000</v>
      </c>
      <c r="H33" s="40"/>
      <c r="I33" s="40"/>
      <c r="J33" s="12" t="s">
        <v>133</v>
      </c>
      <c r="K33" s="12" t="s">
        <v>385</v>
      </c>
    </row>
    <row r="34" customFormat="false" ht="18" hidden="false" customHeight="true" outlineLevel="0" collapsed="false">
      <c r="B34" s="12" t="s">
        <v>383</v>
      </c>
      <c r="C34" s="12" t="s">
        <v>384</v>
      </c>
      <c r="D34" s="12" t="s">
        <v>386</v>
      </c>
      <c r="E34" s="12" t="s">
        <v>220</v>
      </c>
      <c r="F34" s="12" t="s">
        <v>323</v>
      </c>
      <c r="G34" s="39" t="n">
        <v>63000</v>
      </c>
      <c r="H34" s="40"/>
      <c r="I34" s="40"/>
      <c r="J34" s="12" t="s">
        <v>133</v>
      </c>
      <c r="K34" s="12" t="s">
        <v>387</v>
      </c>
    </row>
    <row r="35" customFormat="false" ht="18" hidden="false" customHeight="true" outlineLevel="0" collapsed="false">
      <c r="B35" s="13" t="s">
        <v>383</v>
      </c>
      <c r="C35" s="13" t="s">
        <v>384</v>
      </c>
      <c r="D35" s="13" t="s">
        <v>388</v>
      </c>
      <c r="E35" s="13" t="s">
        <v>233</v>
      </c>
      <c r="F35" s="13" t="s">
        <v>323</v>
      </c>
      <c r="G35" s="42"/>
      <c r="H35" s="41" t="n">
        <v>413000</v>
      </c>
      <c r="I35" s="42"/>
      <c r="J35" s="13" t="s">
        <v>133</v>
      </c>
      <c r="K35" s="13" t="s">
        <v>389</v>
      </c>
    </row>
    <row r="36" customFormat="false" ht="18" hidden="false" customHeight="true" outlineLevel="0" collapsed="false">
      <c r="B36" s="43" t="s">
        <v>390</v>
      </c>
      <c r="C36" s="13" t="s">
        <v>391</v>
      </c>
      <c r="D36" s="13" t="s">
        <v>388</v>
      </c>
      <c r="E36" s="13" t="s">
        <v>233</v>
      </c>
      <c r="F36" s="13" t="s">
        <v>323</v>
      </c>
      <c r="G36" s="41" t="n">
        <v>413000</v>
      </c>
      <c r="H36" s="42"/>
      <c r="I36" s="42"/>
      <c r="J36" s="13" t="s">
        <v>133</v>
      </c>
      <c r="K36" s="13" t="s">
        <v>392</v>
      </c>
    </row>
    <row r="37" customFormat="false" ht="18" hidden="false" customHeight="true" outlineLevel="0" collapsed="false">
      <c r="B37" s="12" t="s">
        <v>390</v>
      </c>
      <c r="C37" s="12" t="s">
        <v>391</v>
      </c>
      <c r="D37" s="12" t="s">
        <v>321</v>
      </c>
      <c r="E37" s="12" t="s">
        <v>322</v>
      </c>
      <c r="F37" s="12" t="s">
        <v>323</v>
      </c>
      <c r="G37" s="40"/>
      <c r="H37" s="39" t="n">
        <v>413000</v>
      </c>
      <c r="I37" s="40"/>
      <c r="J37" s="12" t="s">
        <v>133</v>
      </c>
      <c r="K37" s="12" t="s">
        <v>393</v>
      </c>
    </row>
    <row r="38" customFormat="false" ht="18" hidden="false" customHeight="true" outlineLevel="0" collapsed="false">
      <c r="B38" s="38" t="s">
        <v>394</v>
      </c>
      <c r="C38" s="12" t="s">
        <v>139</v>
      </c>
      <c r="D38" s="12" t="s">
        <v>395</v>
      </c>
      <c r="E38" s="12" t="s">
        <v>291</v>
      </c>
      <c r="F38" s="12" t="s">
        <v>323</v>
      </c>
      <c r="G38" s="39" t="n">
        <v>28500</v>
      </c>
      <c r="H38" s="40"/>
      <c r="I38" s="40"/>
      <c r="J38" s="12" t="s">
        <v>137</v>
      </c>
      <c r="K38" s="12" t="s">
        <v>396</v>
      </c>
    </row>
    <row r="39" customFormat="false" ht="18" hidden="false" customHeight="true" outlineLevel="0" collapsed="false">
      <c r="B39" s="13" t="s">
        <v>394</v>
      </c>
      <c r="C39" s="13" t="s">
        <v>139</v>
      </c>
      <c r="D39" s="13" t="s">
        <v>397</v>
      </c>
      <c r="E39" s="13" t="s">
        <v>237</v>
      </c>
      <c r="F39" s="13" t="s">
        <v>323</v>
      </c>
      <c r="G39" s="42"/>
      <c r="H39" s="41" t="n">
        <v>28500</v>
      </c>
      <c r="I39" s="42"/>
      <c r="J39" s="13" t="s">
        <v>137</v>
      </c>
      <c r="K39" s="13" t="s">
        <v>398</v>
      </c>
    </row>
    <row r="40" customFormat="false" ht="18" hidden="false" customHeight="true" outlineLevel="0" collapsed="false">
      <c r="B40" s="43" t="s">
        <v>399</v>
      </c>
      <c r="C40" s="13" t="s">
        <v>400</v>
      </c>
      <c r="D40" s="13" t="s">
        <v>334</v>
      </c>
      <c r="E40" s="13" t="s">
        <v>401</v>
      </c>
      <c r="F40" s="13" t="s">
        <v>336</v>
      </c>
      <c r="G40" s="41" t="n">
        <v>708400</v>
      </c>
      <c r="H40" s="42"/>
      <c r="I40" s="42"/>
      <c r="J40" s="13" t="s">
        <v>137</v>
      </c>
      <c r="K40" s="13" t="s">
        <v>402</v>
      </c>
    </row>
    <row r="41" customFormat="false" ht="18" hidden="false" customHeight="true" outlineLevel="0" collapsed="false">
      <c r="B41" s="12" t="s">
        <v>399</v>
      </c>
      <c r="C41" s="12" t="s">
        <v>400</v>
      </c>
      <c r="D41" s="12" t="s">
        <v>338</v>
      </c>
      <c r="E41" s="12" t="s">
        <v>261</v>
      </c>
      <c r="F41" s="12" t="s">
        <v>336</v>
      </c>
      <c r="G41" s="40"/>
      <c r="H41" s="39" t="n">
        <v>600339</v>
      </c>
      <c r="I41" s="40"/>
      <c r="J41" s="12" t="s">
        <v>137</v>
      </c>
      <c r="K41" s="12" t="s">
        <v>339</v>
      </c>
    </row>
    <row r="42" customFormat="false" ht="18" hidden="false" customHeight="true" outlineLevel="0" collapsed="false">
      <c r="B42" s="12" t="s">
        <v>399</v>
      </c>
      <c r="C42" s="12" t="s">
        <v>400</v>
      </c>
      <c r="D42" s="12" t="s">
        <v>340</v>
      </c>
      <c r="E42" s="12" t="s">
        <v>239</v>
      </c>
      <c r="F42" s="12" t="s">
        <v>336</v>
      </c>
      <c r="G42" s="40"/>
      <c r="H42" s="39" t="n">
        <v>108061</v>
      </c>
      <c r="I42" s="40"/>
      <c r="J42" s="12" t="s">
        <v>137</v>
      </c>
      <c r="K42" s="12" t="s">
        <v>341</v>
      </c>
    </row>
    <row r="43" customFormat="false" ht="18" hidden="false" customHeight="true" outlineLevel="0" collapsed="false">
      <c r="B43" s="43" t="s">
        <v>403</v>
      </c>
      <c r="C43" s="13" t="s">
        <v>404</v>
      </c>
      <c r="D43" s="13" t="s">
        <v>405</v>
      </c>
      <c r="E43" s="13" t="s">
        <v>406</v>
      </c>
      <c r="F43" s="13" t="s">
        <v>354</v>
      </c>
      <c r="G43" s="41" t="n">
        <v>125000</v>
      </c>
      <c r="H43" s="42"/>
      <c r="I43" s="42"/>
      <c r="J43" s="13" t="s">
        <v>137</v>
      </c>
      <c r="K43" s="13" t="s">
        <v>407</v>
      </c>
    </row>
    <row r="44" customFormat="false" ht="18" hidden="false" customHeight="true" outlineLevel="0" collapsed="false">
      <c r="B44" s="13" t="s">
        <v>403</v>
      </c>
      <c r="C44" s="13" t="s">
        <v>404</v>
      </c>
      <c r="D44" s="13" t="s">
        <v>408</v>
      </c>
      <c r="E44" s="13" t="s">
        <v>409</v>
      </c>
      <c r="F44" s="13" t="s">
        <v>354</v>
      </c>
      <c r="G44" s="42"/>
      <c r="H44" s="41" t="n">
        <v>125000</v>
      </c>
      <c r="I44" s="42"/>
      <c r="J44" s="13" t="s">
        <v>137</v>
      </c>
      <c r="K44" s="13" t="s">
        <v>410</v>
      </c>
    </row>
    <row r="45" customFormat="false" ht="18" hidden="false" customHeight="true" outlineLevel="0" collapsed="false">
      <c r="B45" s="38" t="s">
        <v>411</v>
      </c>
      <c r="C45" s="12" t="s">
        <v>139</v>
      </c>
      <c r="D45" s="12" t="s">
        <v>412</v>
      </c>
      <c r="E45" s="12" t="s">
        <v>103</v>
      </c>
      <c r="F45" s="12" t="s">
        <v>323</v>
      </c>
      <c r="G45" s="39" t="n">
        <v>15000</v>
      </c>
      <c r="H45" s="40"/>
      <c r="I45" s="40"/>
      <c r="J45" s="12" t="s">
        <v>137</v>
      </c>
      <c r="K45" s="12" t="s">
        <v>413</v>
      </c>
    </row>
    <row r="46" customFormat="false" ht="18" hidden="false" customHeight="true" outlineLevel="0" collapsed="false">
      <c r="B46" s="12" t="s">
        <v>411</v>
      </c>
      <c r="C46" s="12" t="s">
        <v>139</v>
      </c>
      <c r="D46" s="12" t="s">
        <v>414</v>
      </c>
      <c r="E46" s="12" t="s">
        <v>300</v>
      </c>
      <c r="F46" s="12" t="s">
        <v>323</v>
      </c>
      <c r="G46" s="40"/>
      <c r="H46" s="39" t="n">
        <v>15000</v>
      </c>
      <c r="I46" s="40"/>
      <c r="J46" s="12" t="s">
        <v>137</v>
      </c>
      <c r="K46" s="12" t="s">
        <v>415</v>
      </c>
    </row>
    <row r="47" customFormat="false" ht="21.75" hidden="false" customHeight="true" outlineLevel="0" collapsed="false">
      <c r="B47" s="44" t="s">
        <v>416</v>
      </c>
      <c r="C47" s="44"/>
      <c r="D47" s="44"/>
      <c r="E47" s="44"/>
      <c r="F47" s="45" t="n">
        <f aca="false">SUM(F9:F46)</f>
        <v>0</v>
      </c>
      <c r="G47" s="45" t="n">
        <f aca="false">SUM(G9:G46)</f>
        <v>6695900</v>
      </c>
      <c r="H47" s="46"/>
      <c r="I47" s="46"/>
      <c r="J47" s="46"/>
      <c r="K47" s="46"/>
    </row>
  </sheetData>
  <mergeCells count="3">
    <mergeCell ref="B1:M3"/>
    <mergeCell ref="B4:M4"/>
    <mergeCell ref="B47:E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M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8" min="5" style="0" width="18"/>
  </cols>
  <sheetData>
    <row r="1" customFormat="false" ht="13.5" hidden="false" customHeight="true" outlineLevel="0" collapsed="false">
      <c r="A1" s="1"/>
      <c r="B1" s="14" t="s">
        <v>417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customFormat="false" ht="13.5" hidden="false" customHeight="true" outlineLevel="0" collapsed="false">
      <c r="A2" s="1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customFormat="false" ht="13.5" hidden="false" customHeight="true" outlineLevel="0" collapsed="false">
      <c r="A3" s="1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customFormat="false" ht="18" hidden="false" customHeight="true" outlineLevel="0" collapsed="false">
      <c r="B4" s="15" t="s">
        <v>418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 customFormat="false" ht="3.7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7" customFormat="false" ht="7.5" hidden="false" customHeight="true" outlineLevel="0" collapsed="false"/>
    <row r="8" customFormat="false" ht="24" hidden="false" customHeight="true" outlineLevel="0" collapsed="false">
      <c r="B8" s="16" t="s">
        <v>190</v>
      </c>
      <c r="C8" s="16" t="s">
        <v>191</v>
      </c>
      <c r="D8" s="16" t="s">
        <v>114</v>
      </c>
      <c r="E8" s="16" t="s">
        <v>419</v>
      </c>
      <c r="F8" s="16" t="s">
        <v>420</v>
      </c>
      <c r="G8" s="16" t="s">
        <v>421</v>
      </c>
      <c r="H8" s="16" t="s">
        <v>422</v>
      </c>
    </row>
    <row r="9" customFormat="false" ht="18" hidden="false" customHeight="true" outlineLevel="0" collapsed="false">
      <c r="B9" s="47" t="s">
        <v>197</v>
      </c>
      <c r="C9" s="47" t="s">
        <v>322</v>
      </c>
      <c r="D9" s="47" t="s">
        <v>199</v>
      </c>
      <c r="E9" s="48" t="n">
        <v>1200000</v>
      </c>
      <c r="F9" s="48"/>
      <c r="G9" s="48" t="n">
        <v>580000</v>
      </c>
      <c r="H9" s="48" t="n">
        <v>955000</v>
      </c>
    </row>
    <row r="10" customFormat="false" ht="18" hidden="false" customHeight="true" outlineLevel="0" collapsed="false">
      <c r="B10" s="47" t="s">
        <v>202</v>
      </c>
      <c r="C10" s="47" t="s">
        <v>423</v>
      </c>
      <c r="D10" s="47" t="s">
        <v>199</v>
      </c>
      <c r="E10" s="48" t="n">
        <v>200000</v>
      </c>
      <c r="F10" s="48"/>
      <c r="G10" s="48"/>
      <c r="H10" s="48"/>
    </row>
    <row r="11" customFormat="false" ht="18" hidden="false" customHeight="true" outlineLevel="0" collapsed="false">
      <c r="B11" s="47" t="s">
        <v>204</v>
      </c>
      <c r="C11" s="47" t="s">
        <v>326</v>
      </c>
      <c r="D11" s="47" t="s">
        <v>199</v>
      </c>
      <c r="E11" s="48" t="n">
        <v>850000</v>
      </c>
      <c r="F11" s="48"/>
      <c r="G11" s="48" t="n">
        <v>1624400</v>
      </c>
      <c r="H11" s="48" t="n">
        <v>580000</v>
      </c>
    </row>
    <row r="12" customFormat="false" ht="18" hidden="false" customHeight="true" outlineLevel="0" collapsed="false">
      <c r="B12" s="47" t="s">
        <v>209</v>
      </c>
      <c r="C12" s="47" t="s">
        <v>210</v>
      </c>
      <c r="D12" s="47" t="s">
        <v>199</v>
      </c>
      <c r="E12" s="48" t="n">
        <v>620000</v>
      </c>
      <c r="F12" s="48"/>
      <c r="G12" s="48" t="n">
        <v>350000</v>
      </c>
      <c r="H12" s="48"/>
    </row>
    <row r="13" customFormat="false" ht="18" hidden="false" customHeight="true" outlineLevel="0" collapsed="false">
      <c r="B13" s="47" t="s">
        <v>211</v>
      </c>
      <c r="C13" s="47" t="s">
        <v>424</v>
      </c>
      <c r="D13" s="47" t="s">
        <v>199</v>
      </c>
      <c r="E13" s="48" t="n">
        <v>180000</v>
      </c>
      <c r="F13" s="48"/>
      <c r="G13" s="48"/>
      <c r="H13" s="48"/>
    </row>
    <row r="14" customFormat="false" ht="18" hidden="false" customHeight="true" outlineLevel="0" collapsed="false">
      <c r="B14" s="47" t="s">
        <v>213</v>
      </c>
      <c r="C14" s="47" t="s">
        <v>214</v>
      </c>
      <c r="D14" s="47" t="s">
        <v>199</v>
      </c>
      <c r="E14" s="48" t="n">
        <v>420000</v>
      </c>
      <c r="F14" s="48"/>
      <c r="G14" s="48"/>
      <c r="H14" s="48" t="n">
        <v>295000</v>
      </c>
    </row>
    <row r="15" customFormat="false" ht="18" hidden="false" customHeight="true" outlineLevel="0" collapsed="false">
      <c r="B15" s="47" t="s">
        <v>215</v>
      </c>
      <c r="C15" s="47" t="s">
        <v>216</v>
      </c>
      <c r="D15" s="47" t="s">
        <v>199</v>
      </c>
      <c r="E15" s="48" t="n">
        <v>60000</v>
      </c>
      <c r="F15" s="48"/>
      <c r="G15" s="48"/>
      <c r="H15" s="48"/>
    </row>
    <row r="16" customFormat="false" ht="18" hidden="false" customHeight="true" outlineLevel="0" collapsed="false">
      <c r="B16" s="47" t="s">
        <v>219</v>
      </c>
      <c r="C16" s="47" t="s">
        <v>220</v>
      </c>
      <c r="D16" s="47" t="s">
        <v>199</v>
      </c>
      <c r="E16" s="48"/>
      <c r="F16" s="48"/>
      <c r="G16" s="48" t="n">
        <v>63000</v>
      </c>
      <c r="H16" s="48"/>
    </row>
    <row r="17" customFormat="false" ht="18" hidden="false" customHeight="true" outlineLevel="0" collapsed="false">
      <c r="B17" s="47" t="s">
        <v>221</v>
      </c>
      <c r="C17" s="47" t="s">
        <v>222</v>
      </c>
      <c r="D17" s="47" t="s">
        <v>199</v>
      </c>
      <c r="E17" s="48" t="n">
        <v>2400000</v>
      </c>
      <c r="F17" s="48"/>
      <c r="G17" s="48"/>
      <c r="H17" s="48"/>
    </row>
    <row r="18" customFormat="false" ht="18" hidden="false" customHeight="true" outlineLevel="0" collapsed="false">
      <c r="B18" s="47" t="s">
        <v>224</v>
      </c>
      <c r="C18" s="47" t="s">
        <v>369</v>
      </c>
      <c r="D18" s="47" t="s">
        <v>199</v>
      </c>
      <c r="E18" s="48"/>
      <c r="F18" s="48" t="n">
        <v>360000</v>
      </c>
      <c r="G18" s="48"/>
      <c r="H18" s="48" t="n">
        <v>42000</v>
      </c>
    </row>
    <row r="19" customFormat="false" ht="18" hidden="false" customHeight="true" outlineLevel="0" collapsed="false">
      <c r="B19" s="49" t="s">
        <v>232</v>
      </c>
      <c r="C19" s="49" t="s">
        <v>425</v>
      </c>
      <c r="D19" s="49" t="s">
        <v>234</v>
      </c>
      <c r="E19" s="50"/>
      <c r="F19" s="50" t="n">
        <v>520000</v>
      </c>
      <c r="G19" s="50" t="n">
        <v>413000</v>
      </c>
      <c r="H19" s="50" t="n">
        <v>413000</v>
      </c>
    </row>
    <row r="20" customFormat="false" ht="18" hidden="false" customHeight="true" outlineLevel="0" collapsed="false">
      <c r="B20" s="49" t="s">
        <v>236</v>
      </c>
      <c r="C20" s="49" t="s">
        <v>237</v>
      </c>
      <c r="D20" s="49" t="s">
        <v>234</v>
      </c>
      <c r="E20" s="50"/>
      <c r="F20" s="50" t="n">
        <v>40000</v>
      </c>
      <c r="G20" s="50"/>
      <c r="H20" s="50" t="n">
        <v>28500</v>
      </c>
    </row>
    <row r="21" customFormat="false" ht="18" hidden="false" customHeight="true" outlineLevel="0" collapsed="false">
      <c r="B21" s="49" t="s">
        <v>238</v>
      </c>
      <c r="C21" s="49" t="s">
        <v>426</v>
      </c>
      <c r="D21" s="49" t="s">
        <v>234</v>
      </c>
      <c r="E21" s="50"/>
      <c r="F21" s="50" t="n">
        <v>115000</v>
      </c>
      <c r="G21" s="50"/>
      <c r="H21" s="50" t="n">
        <v>231688</v>
      </c>
    </row>
    <row r="22" customFormat="false" ht="18" hidden="false" customHeight="true" outlineLevel="0" collapsed="false">
      <c r="B22" s="49" t="s">
        <v>240</v>
      </c>
      <c r="C22" s="49" t="s">
        <v>241</v>
      </c>
      <c r="D22" s="49" t="s">
        <v>234</v>
      </c>
      <c r="E22" s="50"/>
      <c r="F22" s="50" t="n">
        <v>22000</v>
      </c>
      <c r="G22" s="50"/>
      <c r="H22" s="50" t="n">
        <v>48000</v>
      </c>
    </row>
    <row r="23" customFormat="false" ht="18" hidden="false" customHeight="true" outlineLevel="0" collapsed="false">
      <c r="B23" s="49" t="s">
        <v>242</v>
      </c>
      <c r="C23" s="49" t="s">
        <v>243</v>
      </c>
      <c r="D23" s="49" t="s">
        <v>234</v>
      </c>
      <c r="E23" s="50"/>
      <c r="F23" s="50" t="n">
        <v>120000</v>
      </c>
      <c r="G23" s="50"/>
      <c r="H23" s="50"/>
    </row>
    <row r="24" customFormat="false" ht="18" hidden="false" customHeight="true" outlineLevel="0" collapsed="false">
      <c r="B24" s="49" t="s">
        <v>246</v>
      </c>
      <c r="C24" s="49" t="s">
        <v>427</v>
      </c>
      <c r="D24" s="49" t="s">
        <v>234</v>
      </c>
      <c r="E24" s="50"/>
      <c r="F24" s="50" t="n">
        <v>1500000</v>
      </c>
      <c r="G24" s="50"/>
      <c r="H24" s="50"/>
    </row>
    <row r="25" customFormat="false" ht="18" hidden="false" customHeight="true" outlineLevel="0" collapsed="false">
      <c r="B25" s="49" t="s">
        <v>251</v>
      </c>
      <c r="C25" s="49" t="s">
        <v>103</v>
      </c>
      <c r="D25" s="49" t="s">
        <v>234</v>
      </c>
      <c r="E25" s="50"/>
      <c r="F25" s="50" t="n">
        <v>15000</v>
      </c>
      <c r="G25" s="50" t="n">
        <v>15000</v>
      </c>
      <c r="H25" s="50" t="n">
        <v>15000</v>
      </c>
    </row>
    <row r="26" customFormat="false" ht="18" hidden="false" customHeight="true" outlineLevel="0" collapsed="false">
      <c r="B26" s="51" t="s">
        <v>253</v>
      </c>
      <c r="C26" s="51" t="s">
        <v>254</v>
      </c>
      <c r="D26" s="51" t="s">
        <v>255</v>
      </c>
      <c r="E26" s="52"/>
      <c r="F26" s="52" t="n">
        <v>350000</v>
      </c>
      <c r="G26" s="52"/>
      <c r="H26" s="52"/>
    </row>
    <row r="27" customFormat="false" ht="18" hidden="false" customHeight="true" outlineLevel="0" collapsed="false">
      <c r="B27" s="51" t="s">
        <v>256</v>
      </c>
      <c r="C27" s="51" t="s">
        <v>257</v>
      </c>
      <c r="D27" s="51" t="s">
        <v>255</v>
      </c>
      <c r="E27" s="52"/>
      <c r="F27" s="52" t="n">
        <v>2670000</v>
      </c>
      <c r="G27" s="52"/>
      <c r="H27" s="52"/>
    </row>
    <row r="28" customFormat="false" ht="18" hidden="false" customHeight="true" outlineLevel="0" collapsed="false">
      <c r="B28" s="51" t="s">
        <v>260</v>
      </c>
      <c r="C28" s="51" t="s">
        <v>428</v>
      </c>
      <c r="D28" s="51" t="s">
        <v>262</v>
      </c>
      <c r="E28" s="52"/>
      <c r="F28" s="52"/>
      <c r="G28" s="52"/>
      <c r="H28" s="52" t="n">
        <v>1092712</v>
      </c>
    </row>
    <row r="29" customFormat="false" ht="18" hidden="false" customHeight="true" outlineLevel="0" collapsed="false">
      <c r="B29" s="51" t="s">
        <v>265</v>
      </c>
      <c r="C29" s="51" t="s">
        <v>266</v>
      </c>
      <c r="D29" s="51" t="s">
        <v>262</v>
      </c>
      <c r="E29" s="52"/>
      <c r="F29" s="52"/>
      <c r="G29" s="52"/>
      <c r="H29" s="52" t="n">
        <v>200000</v>
      </c>
    </row>
    <row r="30" customFormat="false" ht="18" hidden="false" customHeight="true" outlineLevel="0" collapsed="false">
      <c r="B30" s="53" t="s">
        <v>275</v>
      </c>
      <c r="C30" s="53" t="s">
        <v>344</v>
      </c>
      <c r="D30" s="53" t="s">
        <v>277</v>
      </c>
      <c r="E30" s="54"/>
      <c r="F30" s="54"/>
      <c r="G30" s="54" t="n">
        <v>295000</v>
      </c>
      <c r="H30" s="54"/>
    </row>
    <row r="31" customFormat="false" ht="18" hidden="false" customHeight="true" outlineLevel="0" collapsed="false">
      <c r="B31" s="53" t="s">
        <v>281</v>
      </c>
      <c r="C31" s="53" t="s">
        <v>282</v>
      </c>
      <c r="D31" s="53" t="s">
        <v>277</v>
      </c>
      <c r="E31" s="54"/>
      <c r="F31" s="54"/>
      <c r="G31" s="54" t="n">
        <v>480000</v>
      </c>
      <c r="H31" s="54"/>
    </row>
    <row r="32" customFormat="false" ht="18" hidden="false" customHeight="true" outlineLevel="0" collapsed="false">
      <c r="B32" s="53" t="s">
        <v>286</v>
      </c>
      <c r="C32" s="53" t="s">
        <v>287</v>
      </c>
      <c r="D32" s="53" t="s">
        <v>277</v>
      </c>
      <c r="E32" s="54"/>
      <c r="F32" s="54"/>
      <c r="G32" s="54" t="n">
        <v>75000</v>
      </c>
      <c r="H32" s="54"/>
    </row>
    <row r="33" customFormat="false" ht="18" hidden="false" customHeight="true" outlineLevel="0" collapsed="false">
      <c r="B33" s="53" t="s">
        <v>288</v>
      </c>
      <c r="C33" s="53" t="s">
        <v>289</v>
      </c>
      <c r="D33" s="53" t="s">
        <v>277</v>
      </c>
      <c r="E33" s="54"/>
      <c r="F33" s="54"/>
      <c r="G33" s="54" t="n">
        <v>35000</v>
      </c>
      <c r="H33" s="54"/>
    </row>
    <row r="34" customFormat="false" ht="18" hidden="false" customHeight="true" outlineLevel="0" collapsed="false">
      <c r="B34" s="53" t="s">
        <v>290</v>
      </c>
      <c r="C34" s="53" t="s">
        <v>291</v>
      </c>
      <c r="D34" s="53" t="s">
        <v>277</v>
      </c>
      <c r="E34" s="54"/>
      <c r="F34" s="54"/>
      <c r="G34" s="54" t="n">
        <v>28500</v>
      </c>
      <c r="H34" s="54"/>
    </row>
    <row r="35" customFormat="false" ht="18" hidden="false" customHeight="true" outlineLevel="0" collapsed="false">
      <c r="B35" s="53" t="s">
        <v>292</v>
      </c>
      <c r="C35" s="53" t="s">
        <v>293</v>
      </c>
      <c r="D35" s="53" t="s">
        <v>277</v>
      </c>
      <c r="E35" s="54"/>
      <c r="F35" s="54"/>
      <c r="G35" s="54" t="n">
        <v>42000</v>
      </c>
      <c r="H35" s="54"/>
    </row>
    <row r="36" customFormat="false" ht="18" hidden="false" customHeight="true" outlineLevel="0" collapsed="false">
      <c r="B36" s="53" t="s">
        <v>299</v>
      </c>
      <c r="C36" s="53" t="s">
        <v>429</v>
      </c>
      <c r="D36" s="53" t="s">
        <v>277</v>
      </c>
      <c r="E36" s="54"/>
      <c r="F36" s="54"/>
      <c r="G36" s="54" t="n">
        <v>15000</v>
      </c>
      <c r="H36" s="54"/>
    </row>
    <row r="37" customFormat="false" ht="21.75" hidden="false" customHeight="true" outlineLevel="0" collapsed="false">
      <c r="B37" s="55" t="s">
        <v>430</v>
      </c>
      <c r="C37" s="55"/>
      <c r="D37" s="45" t="n">
        <f aca="false">SUM(D9:D36)</f>
        <v>0</v>
      </c>
      <c r="E37" s="45" t="n">
        <f aca="false">SUM(E9:E36)</f>
        <v>5930000</v>
      </c>
      <c r="F37" s="45" t="n">
        <f aca="false">SUM(F9:F36)</f>
        <v>5712000</v>
      </c>
      <c r="G37" s="45" t="n">
        <f aca="false">SUM(G9:G36)</f>
        <v>4015900</v>
      </c>
      <c r="H37" s="46"/>
    </row>
    <row r="38" customFormat="false" ht="21.75" hidden="false" customHeight="true" outlineLevel="0" collapsed="false">
      <c r="B38" s="56" t="s">
        <v>431</v>
      </c>
      <c r="C38" s="56"/>
      <c r="D38" s="56"/>
      <c r="E38" s="56"/>
      <c r="F38" s="57" t="n">
        <f aca="false">D37-E37</f>
        <v>-5930000</v>
      </c>
      <c r="G38" s="57" t="n">
        <f aca="false">F37-G37</f>
        <v>1696100</v>
      </c>
    </row>
  </sheetData>
  <mergeCells count="4">
    <mergeCell ref="B1:M3"/>
    <mergeCell ref="B4:M4"/>
    <mergeCell ref="B37:C37"/>
    <mergeCell ref="B3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6" min="4" style="0" width="20"/>
  </cols>
  <sheetData>
    <row r="1" customFormat="false" ht="13.5" hidden="false" customHeight="true" outlineLevel="0" collapsed="false">
      <c r="A1" s="1"/>
      <c r="B1" s="14" t="s">
        <v>432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customFormat="false" ht="13.5" hidden="false" customHeight="true" outlineLevel="0" collapsed="false">
      <c r="A2" s="1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customFormat="false" ht="13.5" hidden="false" customHeight="true" outlineLevel="0" collapsed="false">
      <c r="A3" s="1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customFormat="false" ht="18" hidden="false" customHeight="true" outlineLevel="0" collapsed="false">
      <c r="B4" s="15" t="s">
        <v>433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 customFormat="false" ht="3.7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7" customFormat="false" ht="7.5" hidden="false" customHeight="true" outlineLevel="0" collapsed="false"/>
    <row r="8" customFormat="false" ht="21.75" hidden="false" customHeight="true" outlineLevel="0" collapsed="false">
      <c r="B8" s="16" t="s">
        <v>434</v>
      </c>
      <c r="C8" s="16" t="s">
        <v>435</v>
      </c>
      <c r="D8" s="16" t="s">
        <v>436</v>
      </c>
      <c r="E8" s="16" t="s">
        <v>437</v>
      </c>
      <c r="F8" s="16" t="s">
        <v>438</v>
      </c>
    </row>
    <row r="9" customFormat="false" ht="21.75" hidden="false" customHeight="true" outlineLevel="0" collapsed="false">
      <c r="B9" s="58" t="s">
        <v>439</v>
      </c>
      <c r="C9" s="58"/>
      <c r="D9" s="58"/>
      <c r="E9" s="58"/>
      <c r="F9" s="58"/>
    </row>
    <row r="10" customFormat="false" ht="19.5" hidden="false" customHeight="true" outlineLevel="0" collapsed="false">
      <c r="B10" s="12" t="s">
        <v>262</v>
      </c>
      <c r="C10" s="12" t="s">
        <v>261</v>
      </c>
      <c r="D10" s="12" t="s">
        <v>131</v>
      </c>
      <c r="E10" s="39" t="n">
        <v>1092712</v>
      </c>
      <c r="F10" s="59"/>
    </row>
    <row r="11" customFormat="false" ht="19.5" hidden="false" customHeight="true" outlineLevel="0" collapsed="false">
      <c r="B11" s="13" t="s">
        <v>262</v>
      </c>
      <c r="C11" s="13" t="s">
        <v>266</v>
      </c>
      <c r="D11" s="13" t="s">
        <v>131</v>
      </c>
      <c r="E11" s="41" t="n">
        <v>200000</v>
      </c>
      <c r="F11" s="60"/>
    </row>
    <row r="12" customFormat="false" ht="19.5" hidden="false" customHeight="true" outlineLevel="0" collapsed="false">
      <c r="B12" s="12" t="s">
        <v>262</v>
      </c>
      <c r="C12" s="12" t="s">
        <v>440</v>
      </c>
      <c r="D12" s="12" t="s">
        <v>131</v>
      </c>
      <c r="E12" s="39" t="n">
        <v>0</v>
      </c>
      <c r="F12" s="59"/>
    </row>
    <row r="13" customFormat="false" ht="24" hidden="false" customHeight="true" outlineLevel="0" collapsed="false">
      <c r="B13" s="61" t="s">
        <v>441</v>
      </c>
      <c r="C13" s="61"/>
      <c r="D13" s="62"/>
      <c r="E13" s="63" t="n">
        <f aca="false">SUM(E10:E12)</f>
        <v>1292712</v>
      </c>
      <c r="F13" s="62"/>
    </row>
    <row r="14" customFormat="false" ht="21.75" hidden="false" customHeight="true" outlineLevel="0" collapsed="false">
      <c r="B14" s="58" t="s">
        <v>442</v>
      </c>
      <c r="C14" s="58"/>
      <c r="D14" s="58"/>
      <c r="E14" s="58"/>
      <c r="F14" s="58"/>
    </row>
    <row r="15" customFormat="false" ht="19.5" hidden="false" customHeight="true" outlineLevel="0" collapsed="false">
      <c r="B15" s="12" t="s">
        <v>278</v>
      </c>
      <c r="C15" s="12" t="s">
        <v>443</v>
      </c>
      <c r="D15" s="12" t="s">
        <v>136</v>
      </c>
      <c r="E15" s="39" t="n">
        <v>295000</v>
      </c>
      <c r="F15" s="59"/>
    </row>
    <row r="16" customFormat="false" ht="19.5" hidden="false" customHeight="true" outlineLevel="0" collapsed="false">
      <c r="B16" s="13" t="s">
        <v>278</v>
      </c>
      <c r="C16" s="13" t="s">
        <v>444</v>
      </c>
      <c r="D16" s="13" t="s">
        <v>136</v>
      </c>
      <c r="E16" s="41" t="n">
        <v>0</v>
      </c>
      <c r="F16" s="60"/>
    </row>
    <row r="17" customFormat="false" ht="24" hidden="false" customHeight="true" outlineLevel="0" collapsed="false">
      <c r="B17" s="61" t="s">
        <v>445</v>
      </c>
      <c r="C17" s="61"/>
      <c r="D17" s="62"/>
      <c r="E17" s="63" t="n">
        <f aca="false">SUM(E15:E16)</f>
        <v>295000</v>
      </c>
      <c r="F17" s="62"/>
    </row>
    <row r="18" customFormat="false" ht="24" hidden="false" customHeight="true" outlineLevel="0" collapsed="false">
      <c r="B18" s="64" t="s">
        <v>446</v>
      </c>
      <c r="C18" s="64"/>
      <c r="D18" s="65"/>
      <c r="E18" s="66" t="n">
        <f aca="false">E13-E17</f>
        <v>997712</v>
      </c>
      <c r="F18" s="65"/>
    </row>
    <row r="19" customFormat="false" ht="21.75" hidden="false" customHeight="true" outlineLevel="0" collapsed="false">
      <c r="B19" s="58" t="s">
        <v>447</v>
      </c>
      <c r="C19" s="58"/>
      <c r="D19" s="58"/>
      <c r="E19" s="58"/>
      <c r="F19" s="58"/>
    </row>
    <row r="20" customFormat="false" ht="19.5" hidden="false" customHeight="true" outlineLevel="0" collapsed="false">
      <c r="B20" s="12" t="s">
        <v>448</v>
      </c>
      <c r="C20" s="12" t="s">
        <v>282</v>
      </c>
      <c r="D20" s="12" t="s">
        <v>140</v>
      </c>
      <c r="E20" s="39" t="n">
        <v>480000</v>
      </c>
      <c r="F20" s="59"/>
    </row>
    <row r="21" customFormat="false" ht="19.5" hidden="false" customHeight="true" outlineLevel="0" collapsed="false">
      <c r="B21" s="13" t="s">
        <v>448</v>
      </c>
      <c r="C21" s="13" t="s">
        <v>449</v>
      </c>
      <c r="D21" s="13" t="s">
        <v>140</v>
      </c>
      <c r="E21" s="41" t="n">
        <v>110000</v>
      </c>
      <c r="F21" s="60"/>
    </row>
    <row r="22" customFormat="false" ht="19.5" hidden="false" customHeight="true" outlineLevel="0" collapsed="false">
      <c r="B22" s="12" t="s">
        <v>448</v>
      </c>
      <c r="C22" s="12" t="s">
        <v>291</v>
      </c>
      <c r="D22" s="12" t="s">
        <v>140</v>
      </c>
      <c r="E22" s="39" t="n">
        <v>28500</v>
      </c>
      <c r="F22" s="59"/>
    </row>
    <row r="23" customFormat="false" ht="19.5" hidden="false" customHeight="true" outlineLevel="0" collapsed="false">
      <c r="B23" s="13" t="s">
        <v>448</v>
      </c>
      <c r="C23" s="13" t="s">
        <v>450</v>
      </c>
      <c r="D23" s="13" t="s">
        <v>140</v>
      </c>
      <c r="E23" s="41" t="n">
        <v>0</v>
      </c>
      <c r="F23" s="60"/>
    </row>
    <row r="24" customFormat="false" ht="19.5" hidden="false" customHeight="true" outlineLevel="0" collapsed="false">
      <c r="B24" s="12" t="s">
        <v>448</v>
      </c>
      <c r="C24" s="12" t="s">
        <v>296</v>
      </c>
      <c r="D24" s="12" t="s">
        <v>140</v>
      </c>
      <c r="E24" s="39" t="n">
        <v>0</v>
      </c>
      <c r="F24" s="59"/>
    </row>
    <row r="25" customFormat="false" ht="19.5" hidden="false" customHeight="true" outlineLevel="0" collapsed="false">
      <c r="B25" s="13" t="s">
        <v>448</v>
      </c>
      <c r="C25" s="13" t="s">
        <v>451</v>
      </c>
      <c r="D25" s="13" t="s">
        <v>140</v>
      </c>
      <c r="E25" s="41" t="n">
        <v>42000</v>
      </c>
      <c r="F25" s="60"/>
    </row>
    <row r="26" customFormat="false" ht="24" hidden="false" customHeight="true" outlineLevel="0" collapsed="false">
      <c r="B26" s="61" t="s">
        <v>452</v>
      </c>
      <c r="C26" s="61"/>
      <c r="D26" s="62"/>
      <c r="E26" s="63" t="n">
        <f aca="false">SUM(E20:E25)</f>
        <v>660500</v>
      </c>
      <c r="F26" s="62"/>
    </row>
    <row r="27" customFormat="false" ht="24" hidden="false" customHeight="true" outlineLevel="0" collapsed="false">
      <c r="B27" s="64" t="s">
        <v>453</v>
      </c>
      <c r="C27" s="64"/>
      <c r="D27" s="65"/>
      <c r="E27" s="66" t="n">
        <f aca="false">E18-E26</f>
        <v>337212</v>
      </c>
      <c r="F27" s="65"/>
    </row>
    <row r="28" customFormat="false" ht="21.75" hidden="false" customHeight="true" outlineLevel="0" collapsed="false">
      <c r="B28" s="58" t="s">
        <v>454</v>
      </c>
      <c r="C28" s="58"/>
      <c r="D28" s="58"/>
      <c r="E28" s="58"/>
      <c r="F28" s="58"/>
    </row>
    <row r="29" customFormat="false" ht="19.5" hidden="false" customHeight="true" outlineLevel="0" collapsed="false">
      <c r="B29" s="12" t="s">
        <v>455</v>
      </c>
      <c r="C29" s="12" t="s">
        <v>300</v>
      </c>
      <c r="D29" s="12" t="s">
        <v>144</v>
      </c>
      <c r="E29" s="39" t="n">
        <v>15000</v>
      </c>
      <c r="F29" s="59"/>
    </row>
    <row r="30" customFormat="false" ht="24" hidden="false" customHeight="true" outlineLevel="0" collapsed="false">
      <c r="B30" s="61" t="s">
        <v>456</v>
      </c>
      <c r="C30" s="61"/>
      <c r="D30" s="62"/>
      <c r="E30" s="63" t="n">
        <f aca="false">SUM(E29:E29)</f>
        <v>15000</v>
      </c>
      <c r="F30" s="62"/>
    </row>
    <row r="31" customFormat="false" ht="24" hidden="false" customHeight="true" outlineLevel="0" collapsed="false">
      <c r="B31" s="67" t="s">
        <v>457</v>
      </c>
      <c r="C31" s="67"/>
      <c r="D31" s="46"/>
      <c r="E31" s="45" t="n">
        <f aca="false">E27-E30</f>
        <v>322212</v>
      </c>
      <c r="F31" s="46"/>
    </row>
    <row r="32" customFormat="false" ht="21.75" hidden="false" customHeight="true" outlineLevel="0" collapsed="false">
      <c r="B32" s="58" t="s">
        <v>458</v>
      </c>
      <c r="C32" s="58"/>
      <c r="D32" s="58"/>
      <c r="E32" s="58"/>
      <c r="F32" s="58"/>
    </row>
    <row r="33" customFormat="false" ht="19.5" hidden="false" customHeight="true" outlineLevel="0" collapsed="false">
      <c r="B33" s="12" t="s">
        <v>459</v>
      </c>
      <c r="C33" s="12" t="s">
        <v>460</v>
      </c>
      <c r="D33" s="12" t="s">
        <v>149</v>
      </c>
      <c r="E33" s="39" t="n">
        <f aca="false">E31*0.25</f>
        <v>80553</v>
      </c>
      <c r="F33" s="59"/>
    </row>
    <row r="34" customFormat="false" ht="24" hidden="false" customHeight="true" outlineLevel="0" collapsed="false">
      <c r="B34" s="67" t="s">
        <v>461</v>
      </c>
      <c r="C34" s="67"/>
      <c r="D34" s="46"/>
      <c r="E34" s="45" t="n">
        <f aca="false">E31-E33</f>
        <v>241659</v>
      </c>
      <c r="F34" s="46"/>
    </row>
  </sheetData>
  <mergeCells count="15">
    <mergeCell ref="B1:M3"/>
    <mergeCell ref="B4:M4"/>
    <mergeCell ref="B9:F9"/>
    <mergeCell ref="B13:C13"/>
    <mergeCell ref="B14:F14"/>
    <mergeCell ref="B17:C17"/>
    <mergeCell ref="B18:C18"/>
    <mergeCell ref="B19:F19"/>
    <mergeCell ref="B26:C26"/>
    <mergeCell ref="B27:C27"/>
    <mergeCell ref="B28:F28"/>
    <mergeCell ref="B30:C30"/>
    <mergeCell ref="B31:C31"/>
    <mergeCell ref="B32:F32"/>
    <mergeCell ref="B34:C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M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6" min="4" style="0" width="20"/>
  </cols>
  <sheetData>
    <row r="1" customFormat="false" ht="13.5" hidden="false" customHeight="true" outlineLevel="0" collapsed="false">
      <c r="A1" s="1"/>
      <c r="B1" s="14" t="s">
        <v>462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customFormat="false" ht="13.5" hidden="false" customHeight="true" outlineLevel="0" collapsed="false">
      <c r="A2" s="1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customFormat="false" ht="13.5" hidden="false" customHeight="true" outlineLevel="0" collapsed="false">
      <c r="A3" s="1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customFormat="false" ht="18" hidden="false" customHeight="true" outlineLevel="0" collapsed="false">
      <c r="B4" s="15" t="s">
        <v>463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 customFormat="false" ht="3.7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7" customFormat="false" ht="7.5" hidden="false" customHeight="true" outlineLevel="0" collapsed="false"/>
    <row r="8" customFormat="false" ht="21.75" hidden="false" customHeight="true" outlineLevel="0" collapsed="false">
      <c r="B8" s="16" t="s">
        <v>434</v>
      </c>
      <c r="C8" s="16" t="s">
        <v>435</v>
      </c>
      <c r="D8" s="16" t="s">
        <v>436</v>
      </c>
      <c r="E8" s="16" t="s">
        <v>437</v>
      </c>
      <c r="F8" s="16" t="s">
        <v>464</v>
      </c>
    </row>
    <row r="9" customFormat="false" ht="21.75" hidden="false" customHeight="true" outlineLevel="0" collapsed="false">
      <c r="B9" s="58" t="s">
        <v>465</v>
      </c>
      <c r="C9" s="58"/>
      <c r="D9" s="58"/>
      <c r="E9" s="58"/>
      <c r="F9" s="58"/>
    </row>
    <row r="10" customFormat="false" ht="21.75" hidden="false" customHeight="true" outlineLevel="0" collapsed="false">
      <c r="B10" s="58" t="s">
        <v>466</v>
      </c>
      <c r="C10" s="58"/>
      <c r="D10" s="58"/>
      <c r="E10" s="58"/>
      <c r="F10" s="58"/>
    </row>
    <row r="11" customFormat="false" ht="19.5" hidden="false" customHeight="true" outlineLevel="0" collapsed="false">
      <c r="B11" s="12" t="s">
        <v>255</v>
      </c>
      <c r="C11" s="12" t="s">
        <v>257</v>
      </c>
      <c r="D11" s="12" t="s">
        <v>131</v>
      </c>
      <c r="E11" s="39" t="n">
        <v>2670000</v>
      </c>
      <c r="F11" s="39" t="n">
        <v>2670000</v>
      </c>
    </row>
    <row r="12" customFormat="false" ht="19.5" hidden="false" customHeight="true" outlineLevel="0" collapsed="false">
      <c r="B12" s="13" t="s">
        <v>255</v>
      </c>
      <c r="C12" s="13" t="s">
        <v>259</v>
      </c>
      <c r="D12" s="13" t="s">
        <v>131</v>
      </c>
      <c r="E12" s="41" t="n">
        <v>0</v>
      </c>
      <c r="F12" s="41" t="n">
        <v>0</v>
      </c>
    </row>
    <row r="13" customFormat="false" ht="19.5" hidden="false" customHeight="true" outlineLevel="0" collapsed="false">
      <c r="B13" s="12" t="s">
        <v>255</v>
      </c>
      <c r="C13" s="12" t="s">
        <v>467</v>
      </c>
      <c r="D13" s="12" t="s">
        <v>131</v>
      </c>
      <c r="E13" s="39" t="n">
        <v>350000</v>
      </c>
      <c r="F13" s="39" t="n">
        <v>180000</v>
      </c>
    </row>
    <row r="14" customFormat="false" ht="19.5" hidden="false" customHeight="true" outlineLevel="0" collapsed="false">
      <c r="B14" s="13" t="s">
        <v>255</v>
      </c>
      <c r="C14" s="13" t="s">
        <v>468</v>
      </c>
      <c r="D14" s="13" t="s">
        <v>136</v>
      </c>
      <c r="E14" s="41" t="n">
        <v>237462</v>
      </c>
      <c r="F14" s="41" t="n">
        <v>0</v>
      </c>
    </row>
    <row r="15" customFormat="false" ht="24" hidden="false" customHeight="true" outlineLevel="0" collapsed="false">
      <c r="B15" s="61" t="s">
        <v>469</v>
      </c>
      <c r="C15" s="61"/>
      <c r="D15" s="62"/>
      <c r="E15" s="63" t="n">
        <f aca="false">SUM(E11:E14)</f>
        <v>3257462</v>
      </c>
      <c r="F15" s="63" t="n">
        <f aca="false">SUM(F11:F14)</f>
        <v>2850000</v>
      </c>
    </row>
    <row r="16" customFormat="false" ht="21.75" hidden="false" customHeight="true" outlineLevel="0" collapsed="false">
      <c r="B16" s="58" t="s">
        <v>470</v>
      </c>
      <c r="C16" s="58"/>
      <c r="D16" s="58"/>
      <c r="E16" s="58"/>
      <c r="F16" s="58"/>
    </row>
    <row r="17" customFormat="false" ht="19.5" hidden="false" customHeight="true" outlineLevel="0" collapsed="false">
      <c r="B17" s="12" t="s">
        <v>471</v>
      </c>
      <c r="C17" s="12" t="s">
        <v>247</v>
      </c>
      <c r="D17" s="12" t="s">
        <v>140</v>
      </c>
      <c r="E17" s="39" t="n">
        <v>1500000</v>
      </c>
      <c r="F17" s="39" t="n">
        <v>1500000</v>
      </c>
    </row>
    <row r="18" customFormat="false" ht="19.5" hidden="false" customHeight="true" outlineLevel="0" collapsed="false">
      <c r="B18" s="13" t="s">
        <v>471</v>
      </c>
      <c r="C18" s="13" t="s">
        <v>250</v>
      </c>
      <c r="D18" s="13" t="s">
        <v>140</v>
      </c>
      <c r="E18" s="41" t="n">
        <v>0</v>
      </c>
      <c r="F18" s="41" t="n">
        <v>0</v>
      </c>
    </row>
    <row r="19" customFormat="false" ht="24" hidden="false" customHeight="true" outlineLevel="0" collapsed="false">
      <c r="B19" s="61" t="s">
        <v>472</v>
      </c>
      <c r="C19" s="61"/>
      <c r="D19" s="62"/>
      <c r="E19" s="63" t="n">
        <f aca="false">SUM(E17:E18)</f>
        <v>1500000</v>
      </c>
      <c r="F19" s="63" t="n">
        <f aca="false">SUM(F17:F18)</f>
        <v>1500000</v>
      </c>
    </row>
    <row r="20" customFormat="false" ht="21.75" hidden="false" customHeight="true" outlineLevel="0" collapsed="false">
      <c r="B20" s="58" t="s">
        <v>473</v>
      </c>
      <c r="C20" s="58"/>
      <c r="D20" s="58"/>
      <c r="E20" s="58"/>
      <c r="F20" s="58"/>
    </row>
    <row r="21" customFormat="false" ht="19.5" hidden="false" customHeight="true" outlineLevel="0" collapsed="false">
      <c r="B21" s="12" t="s">
        <v>474</v>
      </c>
      <c r="C21" s="12" t="s">
        <v>233</v>
      </c>
      <c r="D21" s="12" t="s">
        <v>144</v>
      </c>
      <c r="E21" s="39" t="n">
        <v>520000</v>
      </c>
      <c r="F21" s="39" t="n">
        <v>480000</v>
      </c>
    </row>
    <row r="22" customFormat="false" ht="19.5" hidden="false" customHeight="true" outlineLevel="0" collapsed="false">
      <c r="B22" s="13" t="s">
        <v>474</v>
      </c>
      <c r="C22" s="13" t="s">
        <v>237</v>
      </c>
      <c r="D22" s="13" t="s">
        <v>144</v>
      </c>
      <c r="E22" s="41" t="n">
        <v>68500</v>
      </c>
      <c r="F22" s="41" t="n">
        <v>40000</v>
      </c>
    </row>
    <row r="23" customFormat="false" ht="19.5" hidden="false" customHeight="true" outlineLevel="0" collapsed="false">
      <c r="B23" s="12" t="s">
        <v>474</v>
      </c>
      <c r="C23" s="12" t="s">
        <v>239</v>
      </c>
      <c r="D23" s="12" t="s">
        <v>144</v>
      </c>
      <c r="E23" s="39" t="n">
        <v>346688</v>
      </c>
      <c r="F23" s="39" t="n">
        <v>115000</v>
      </c>
    </row>
    <row r="24" customFormat="false" ht="19.5" hidden="false" customHeight="true" outlineLevel="0" collapsed="false">
      <c r="B24" s="13" t="s">
        <v>474</v>
      </c>
      <c r="C24" s="13" t="s">
        <v>241</v>
      </c>
      <c r="D24" s="13" t="s">
        <v>144</v>
      </c>
      <c r="E24" s="41" t="n">
        <v>70000</v>
      </c>
      <c r="F24" s="41" t="n">
        <v>22000</v>
      </c>
    </row>
    <row r="25" customFormat="false" ht="19.5" hidden="false" customHeight="true" outlineLevel="0" collapsed="false">
      <c r="B25" s="12" t="s">
        <v>474</v>
      </c>
      <c r="C25" s="12" t="s">
        <v>243</v>
      </c>
      <c r="D25" s="12" t="s">
        <v>144</v>
      </c>
      <c r="E25" s="39" t="n">
        <v>120000</v>
      </c>
      <c r="F25" s="39" t="n">
        <v>120000</v>
      </c>
    </row>
    <row r="26" customFormat="false" ht="24" hidden="false" customHeight="true" outlineLevel="0" collapsed="false">
      <c r="B26" s="61" t="s">
        <v>475</v>
      </c>
      <c r="C26" s="61"/>
      <c r="D26" s="62"/>
      <c r="E26" s="63" t="n">
        <f aca="false">SUM(E21:E25)</f>
        <v>1125188</v>
      </c>
      <c r="F26" s="63" t="n">
        <f aca="false">SUM(F21:F25)</f>
        <v>777000</v>
      </c>
    </row>
    <row r="27" customFormat="false" ht="24" hidden="false" customHeight="true" outlineLevel="0" collapsed="false">
      <c r="B27" s="67" t="s">
        <v>476</v>
      </c>
      <c r="C27" s="67"/>
      <c r="D27" s="46"/>
      <c r="E27" s="45" t="n">
        <f aca="false">E15+E19+E26</f>
        <v>5882650</v>
      </c>
      <c r="F27" s="45" t="n">
        <f aca="false">F15+F19+F26</f>
        <v>5127000</v>
      </c>
    </row>
    <row r="28" customFormat="false" ht="7.5" hidden="false" customHeight="true" outlineLevel="0" collapsed="false"/>
    <row r="29" customFormat="false" ht="21.75" hidden="false" customHeight="true" outlineLevel="0" collapsed="false">
      <c r="B29" s="58" t="s">
        <v>477</v>
      </c>
      <c r="C29" s="58"/>
      <c r="D29" s="58"/>
      <c r="E29" s="58"/>
      <c r="F29" s="58"/>
    </row>
    <row r="30" customFormat="false" ht="21.75" hidden="false" customHeight="true" outlineLevel="0" collapsed="false">
      <c r="B30" s="58" t="s">
        <v>478</v>
      </c>
      <c r="C30" s="58"/>
      <c r="D30" s="58"/>
      <c r="E30" s="58"/>
      <c r="F30" s="58"/>
    </row>
    <row r="31" customFormat="false" ht="19.5" hidden="false" customHeight="true" outlineLevel="0" collapsed="false">
      <c r="B31" s="12" t="s">
        <v>479</v>
      </c>
      <c r="C31" s="12" t="s">
        <v>222</v>
      </c>
      <c r="D31" s="12" t="s">
        <v>149</v>
      </c>
      <c r="E31" s="39" t="n">
        <v>2400000</v>
      </c>
      <c r="F31" s="39" t="n">
        <v>2400000</v>
      </c>
    </row>
    <row r="32" customFormat="false" ht="19.5" hidden="false" customHeight="true" outlineLevel="0" collapsed="false">
      <c r="B32" s="13" t="s">
        <v>479</v>
      </c>
      <c r="C32" s="13" t="s">
        <v>480</v>
      </c>
      <c r="D32" s="13" t="s">
        <v>149</v>
      </c>
      <c r="E32" s="41" t="n">
        <v>-402000</v>
      </c>
      <c r="F32" s="41" t="n">
        <v>-360000</v>
      </c>
    </row>
    <row r="33" customFormat="false" ht="19.5" hidden="false" customHeight="true" outlineLevel="0" collapsed="false">
      <c r="B33" s="12" t="s">
        <v>479</v>
      </c>
      <c r="C33" s="12" t="s">
        <v>227</v>
      </c>
      <c r="D33" s="12" t="s">
        <v>149</v>
      </c>
      <c r="E33" s="39" t="n">
        <v>180000</v>
      </c>
      <c r="F33" s="39" t="n">
        <v>180000</v>
      </c>
    </row>
    <row r="34" customFormat="false" ht="19.5" hidden="false" customHeight="true" outlineLevel="0" collapsed="false">
      <c r="B34" s="13" t="s">
        <v>479</v>
      </c>
      <c r="C34" s="13" t="s">
        <v>481</v>
      </c>
      <c r="D34" s="13" t="s">
        <v>149</v>
      </c>
      <c r="E34" s="41" t="n">
        <v>0</v>
      </c>
      <c r="F34" s="41" t="n">
        <v>0</v>
      </c>
    </row>
    <row r="35" customFormat="false" ht="24" hidden="false" customHeight="true" outlineLevel="0" collapsed="false">
      <c r="B35" s="61" t="s">
        <v>482</v>
      </c>
      <c r="C35" s="61"/>
      <c r="D35" s="62"/>
      <c r="E35" s="63" t="n">
        <f aca="false">SUM(E31:E34)</f>
        <v>2178000</v>
      </c>
      <c r="F35" s="63" t="n">
        <f aca="false">SUM(F31:F34)</f>
        <v>2220000</v>
      </c>
    </row>
    <row r="36" customFormat="false" ht="21.75" hidden="false" customHeight="true" outlineLevel="0" collapsed="false">
      <c r="B36" s="58" t="s">
        <v>483</v>
      </c>
      <c r="C36" s="58"/>
      <c r="D36" s="58"/>
      <c r="E36" s="58"/>
      <c r="F36" s="58"/>
    </row>
    <row r="37" customFormat="false" ht="19.5" hidden="false" customHeight="true" outlineLevel="0" collapsed="false">
      <c r="B37" s="12" t="s">
        <v>484</v>
      </c>
      <c r="C37" s="12" t="s">
        <v>322</v>
      </c>
      <c r="D37" s="12" t="s">
        <v>154</v>
      </c>
      <c r="E37" s="39" t="n">
        <v>825000</v>
      </c>
      <c r="F37" s="39" t="n">
        <v>1200000</v>
      </c>
    </row>
    <row r="38" customFormat="false" ht="19.5" hidden="false" customHeight="true" outlineLevel="0" collapsed="false">
      <c r="B38" s="13" t="s">
        <v>484</v>
      </c>
      <c r="C38" s="13" t="s">
        <v>423</v>
      </c>
      <c r="D38" s="13" t="s">
        <v>154</v>
      </c>
      <c r="E38" s="41" t="n">
        <v>200000</v>
      </c>
      <c r="F38" s="41" t="n">
        <v>200000</v>
      </c>
    </row>
    <row r="39" customFormat="false" ht="19.5" hidden="false" customHeight="true" outlineLevel="0" collapsed="false">
      <c r="B39" s="12" t="s">
        <v>484</v>
      </c>
      <c r="C39" s="12" t="s">
        <v>205</v>
      </c>
      <c r="D39" s="12" t="s">
        <v>154</v>
      </c>
      <c r="E39" s="39" t="n">
        <v>1894400</v>
      </c>
      <c r="F39" s="39" t="n">
        <v>850000</v>
      </c>
    </row>
    <row r="40" customFormat="false" ht="19.5" hidden="false" customHeight="true" outlineLevel="0" collapsed="false">
      <c r="B40" s="13" t="s">
        <v>484</v>
      </c>
      <c r="C40" s="13" t="s">
        <v>210</v>
      </c>
      <c r="D40" s="13" t="s">
        <v>154</v>
      </c>
      <c r="E40" s="41" t="n">
        <v>970000</v>
      </c>
      <c r="F40" s="41" t="n">
        <v>620000</v>
      </c>
    </row>
    <row r="41" customFormat="false" ht="19.5" hidden="false" customHeight="true" outlineLevel="0" collapsed="false">
      <c r="B41" s="12" t="s">
        <v>484</v>
      </c>
      <c r="C41" s="12" t="s">
        <v>424</v>
      </c>
      <c r="D41" s="12" t="s">
        <v>154</v>
      </c>
      <c r="E41" s="39" t="n">
        <v>180000</v>
      </c>
      <c r="F41" s="39" t="n">
        <v>180000</v>
      </c>
    </row>
    <row r="42" customFormat="false" ht="19.5" hidden="false" customHeight="true" outlineLevel="0" collapsed="false">
      <c r="B42" s="13" t="s">
        <v>484</v>
      </c>
      <c r="C42" s="13" t="s">
        <v>214</v>
      </c>
      <c r="D42" s="13" t="s">
        <v>154</v>
      </c>
      <c r="E42" s="41" t="n">
        <v>125000</v>
      </c>
      <c r="F42" s="41" t="n">
        <v>420000</v>
      </c>
    </row>
    <row r="43" customFormat="false" ht="19.5" hidden="false" customHeight="true" outlineLevel="0" collapsed="false">
      <c r="B43" s="12" t="s">
        <v>484</v>
      </c>
      <c r="C43" s="12" t="s">
        <v>216</v>
      </c>
      <c r="D43" s="12" t="s">
        <v>154</v>
      </c>
      <c r="E43" s="39" t="n">
        <v>60000</v>
      </c>
      <c r="F43" s="39" t="n">
        <v>60000</v>
      </c>
    </row>
    <row r="44" customFormat="false" ht="19.5" hidden="false" customHeight="true" outlineLevel="0" collapsed="false">
      <c r="B44" s="13" t="s">
        <v>484</v>
      </c>
      <c r="C44" s="13" t="s">
        <v>220</v>
      </c>
      <c r="D44" s="13" t="s">
        <v>154</v>
      </c>
      <c r="E44" s="41" t="n">
        <v>63000</v>
      </c>
      <c r="F44" s="41" t="n">
        <v>0</v>
      </c>
    </row>
    <row r="45" customFormat="false" ht="19.5" hidden="false" customHeight="true" outlineLevel="0" collapsed="false">
      <c r="B45" s="12" t="s">
        <v>484</v>
      </c>
      <c r="C45" s="12" t="s">
        <v>218</v>
      </c>
      <c r="D45" s="12" t="s">
        <v>154</v>
      </c>
      <c r="E45" s="39" t="n">
        <v>0</v>
      </c>
      <c r="F45" s="39" t="n">
        <v>0</v>
      </c>
    </row>
    <row r="46" customFormat="false" ht="24" hidden="false" customHeight="true" outlineLevel="0" collapsed="false">
      <c r="B46" s="61" t="s">
        <v>485</v>
      </c>
      <c r="C46" s="61"/>
      <c r="D46" s="62"/>
      <c r="E46" s="63" t="n">
        <f aca="false">SUM(E37:E45)</f>
        <v>4317400</v>
      </c>
      <c r="F46" s="63" t="n">
        <f aca="false">SUM(F37:F45)</f>
        <v>3530000</v>
      </c>
    </row>
    <row r="47" customFormat="false" ht="24" hidden="false" customHeight="true" outlineLevel="0" collapsed="false">
      <c r="B47" s="67" t="s">
        <v>486</v>
      </c>
      <c r="C47" s="67"/>
      <c r="D47" s="46"/>
      <c r="E47" s="45" t="n">
        <f aca="false">E35+E46</f>
        <v>6495400</v>
      </c>
      <c r="F47" s="45" t="n">
        <f aca="false">F35+F46</f>
        <v>5750000</v>
      </c>
    </row>
    <row r="48" customFormat="false" ht="7.5" hidden="false" customHeight="true" outlineLevel="0" collapsed="false"/>
    <row r="49" customFormat="false" ht="24" hidden="false" customHeight="true" outlineLevel="0" collapsed="false">
      <c r="B49" s="56" t="s">
        <v>487</v>
      </c>
      <c r="C49" s="56"/>
      <c r="D49" s="56"/>
      <c r="E49" s="57" t="n">
        <f aca="false">E47-E27</f>
        <v>612750</v>
      </c>
    </row>
  </sheetData>
  <mergeCells count="17">
    <mergeCell ref="B1:M3"/>
    <mergeCell ref="B4:M4"/>
    <mergeCell ref="B9:F9"/>
    <mergeCell ref="B10:F10"/>
    <mergeCell ref="B15:C15"/>
    <mergeCell ref="B16:F16"/>
    <mergeCell ref="B19:C19"/>
    <mergeCell ref="B20:F20"/>
    <mergeCell ref="B26:C26"/>
    <mergeCell ref="B27:C27"/>
    <mergeCell ref="B29:F29"/>
    <mergeCell ref="B30:F30"/>
    <mergeCell ref="B35:C35"/>
    <mergeCell ref="B36:F36"/>
    <mergeCell ref="B46:C46"/>
    <mergeCell ref="B47:C47"/>
    <mergeCell ref="B49:D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M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24"/>
  </cols>
  <sheetData>
    <row r="1" customFormat="false" ht="13.5" hidden="false" customHeight="true" outlineLevel="0" collapsed="false">
      <c r="A1" s="1"/>
      <c r="B1" s="14" t="s">
        <v>488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customFormat="false" ht="13.5" hidden="false" customHeight="true" outlineLevel="0" collapsed="false">
      <c r="A2" s="1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customFormat="false" ht="13.5" hidden="false" customHeight="true" outlineLevel="0" collapsed="false">
      <c r="A3" s="1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customFormat="false" ht="18" hidden="false" customHeight="true" outlineLevel="0" collapsed="false">
      <c r="B4" s="15" t="s">
        <v>489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 customFormat="false" ht="3.7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7" customFormat="false" ht="7.5" hidden="false" customHeight="true" outlineLevel="0" collapsed="false"/>
    <row r="8" customFormat="false" ht="24" hidden="false" customHeight="true" outlineLevel="0" collapsed="false">
      <c r="B8" s="16" t="s">
        <v>490</v>
      </c>
      <c r="C8" s="16" t="s">
        <v>491</v>
      </c>
      <c r="D8" s="16" t="s">
        <v>492</v>
      </c>
      <c r="E8" s="16" t="s">
        <v>493</v>
      </c>
      <c r="F8" s="16" t="s">
        <v>127</v>
      </c>
      <c r="G8" s="16" t="s">
        <v>494</v>
      </c>
      <c r="H8" s="16" t="s">
        <v>495</v>
      </c>
    </row>
    <row r="9" customFormat="false" ht="21.75" hidden="false" customHeight="true" outlineLevel="0" collapsed="false">
      <c r="B9" s="20" t="s">
        <v>131</v>
      </c>
      <c r="C9" s="68" t="s">
        <v>496</v>
      </c>
      <c r="D9" s="12" t="s">
        <v>497</v>
      </c>
      <c r="E9" s="12" t="s">
        <v>498</v>
      </c>
      <c r="F9" s="69" t="s">
        <v>499</v>
      </c>
      <c r="G9" s="68" t="s">
        <v>500</v>
      </c>
      <c r="H9" s="68" t="s">
        <v>501</v>
      </c>
    </row>
    <row r="10" customFormat="false" ht="21.75" hidden="false" customHeight="true" outlineLevel="0" collapsed="false">
      <c r="B10" s="21" t="s">
        <v>136</v>
      </c>
      <c r="C10" s="70" t="s">
        <v>502</v>
      </c>
      <c r="D10" s="13" t="s">
        <v>497</v>
      </c>
      <c r="E10" s="13" t="s">
        <v>498</v>
      </c>
      <c r="F10" s="69" t="s">
        <v>499</v>
      </c>
      <c r="G10" s="70" t="s">
        <v>503</v>
      </c>
      <c r="H10" s="70" t="s">
        <v>504</v>
      </c>
    </row>
    <row r="11" customFormat="false" ht="21.75" hidden="false" customHeight="true" outlineLevel="0" collapsed="false">
      <c r="B11" s="20" t="s">
        <v>140</v>
      </c>
      <c r="C11" s="68" t="s">
        <v>505</v>
      </c>
      <c r="D11" s="12" t="s">
        <v>497</v>
      </c>
      <c r="E11" s="12" t="s">
        <v>506</v>
      </c>
      <c r="F11" s="69" t="s">
        <v>499</v>
      </c>
      <c r="G11" s="68" t="s">
        <v>507</v>
      </c>
      <c r="H11" s="68" t="s">
        <v>508</v>
      </c>
    </row>
    <row r="12" customFormat="false" ht="21.75" hidden="false" customHeight="true" outlineLevel="0" collapsed="false">
      <c r="B12" s="21" t="s">
        <v>144</v>
      </c>
      <c r="C12" s="70" t="s">
        <v>509</v>
      </c>
      <c r="D12" s="13" t="s">
        <v>497</v>
      </c>
      <c r="E12" s="13" t="s">
        <v>510</v>
      </c>
      <c r="F12" s="69" t="s">
        <v>499</v>
      </c>
      <c r="G12" s="70" t="s">
        <v>511</v>
      </c>
      <c r="H12" s="70" t="s">
        <v>512</v>
      </c>
    </row>
    <row r="13" customFormat="false" ht="21.75" hidden="false" customHeight="true" outlineLevel="0" collapsed="false">
      <c r="B13" s="20" t="s">
        <v>149</v>
      </c>
      <c r="C13" s="68" t="s">
        <v>513</v>
      </c>
      <c r="D13" s="12" t="s">
        <v>497</v>
      </c>
      <c r="E13" s="12" t="s">
        <v>510</v>
      </c>
      <c r="F13" s="69" t="s">
        <v>499</v>
      </c>
      <c r="G13" s="68" t="s">
        <v>514</v>
      </c>
      <c r="H13" s="68" t="s">
        <v>515</v>
      </c>
    </row>
    <row r="14" customFormat="false" ht="21.75" hidden="false" customHeight="true" outlineLevel="0" collapsed="false">
      <c r="B14" s="21" t="s">
        <v>154</v>
      </c>
      <c r="C14" s="70" t="s">
        <v>516</v>
      </c>
      <c r="D14" s="13" t="s">
        <v>517</v>
      </c>
      <c r="E14" s="13" t="s">
        <v>518</v>
      </c>
      <c r="F14" s="69" t="s">
        <v>499</v>
      </c>
      <c r="G14" s="70" t="s">
        <v>519</v>
      </c>
      <c r="H14" s="70" t="s">
        <v>520</v>
      </c>
    </row>
    <row r="15" customFormat="false" ht="21.75" hidden="false" customHeight="true" outlineLevel="0" collapsed="false">
      <c r="B15" s="20" t="s">
        <v>521</v>
      </c>
      <c r="C15" s="68" t="s">
        <v>522</v>
      </c>
      <c r="D15" s="12" t="s">
        <v>497</v>
      </c>
      <c r="E15" s="12" t="s">
        <v>518</v>
      </c>
      <c r="F15" s="69" t="s">
        <v>499</v>
      </c>
      <c r="G15" s="68" t="s">
        <v>523</v>
      </c>
      <c r="H15" s="68" t="s">
        <v>524</v>
      </c>
    </row>
    <row r="16" customFormat="false" ht="21.75" hidden="false" customHeight="true" outlineLevel="0" collapsed="false">
      <c r="B16" s="21" t="s">
        <v>525</v>
      </c>
      <c r="C16" s="70" t="s">
        <v>526</v>
      </c>
      <c r="D16" s="13" t="s">
        <v>527</v>
      </c>
      <c r="E16" s="13" t="s">
        <v>518</v>
      </c>
      <c r="F16" s="69" t="s">
        <v>499</v>
      </c>
      <c r="G16" s="70" t="s">
        <v>528</v>
      </c>
      <c r="H16" s="70" t="s">
        <v>529</v>
      </c>
    </row>
    <row r="17" customFormat="false" ht="21.75" hidden="false" customHeight="true" outlineLevel="0" collapsed="false">
      <c r="B17" s="20" t="s">
        <v>530</v>
      </c>
      <c r="C17" s="68" t="s">
        <v>531</v>
      </c>
      <c r="D17" s="12" t="s">
        <v>532</v>
      </c>
      <c r="E17" s="12" t="s">
        <v>533</v>
      </c>
      <c r="F17" s="69" t="s">
        <v>499</v>
      </c>
      <c r="G17" s="68" t="s">
        <v>534</v>
      </c>
      <c r="H17" s="68" t="s">
        <v>535</v>
      </c>
    </row>
    <row r="18" customFormat="false" ht="21.75" hidden="false" customHeight="true" outlineLevel="0" collapsed="false">
      <c r="B18" s="21" t="s">
        <v>536</v>
      </c>
      <c r="C18" s="70" t="s">
        <v>537</v>
      </c>
      <c r="D18" s="13" t="s">
        <v>517</v>
      </c>
      <c r="E18" s="13" t="s">
        <v>533</v>
      </c>
      <c r="F18" s="69" t="s">
        <v>499</v>
      </c>
      <c r="G18" s="70" t="s">
        <v>538</v>
      </c>
      <c r="H18" s="70" t="s">
        <v>539</v>
      </c>
    </row>
    <row r="19" customFormat="false" ht="21.75" hidden="false" customHeight="true" outlineLevel="0" collapsed="false">
      <c r="B19" s="20" t="s">
        <v>540</v>
      </c>
      <c r="C19" s="68" t="s">
        <v>541</v>
      </c>
      <c r="D19" s="12" t="s">
        <v>517</v>
      </c>
      <c r="E19" s="12" t="s">
        <v>542</v>
      </c>
      <c r="F19" s="69" t="s">
        <v>499</v>
      </c>
      <c r="G19" s="68" t="s">
        <v>543</v>
      </c>
      <c r="H19" s="68" t="s">
        <v>544</v>
      </c>
    </row>
    <row r="20" customFormat="false" ht="21.75" hidden="false" customHeight="true" outlineLevel="0" collapsed="false">
      <c r="B20" s="21" t="s">
        <v>545</v>
      </c>
      <c r="C20" s="70" t="s">
        <v>546</v>
      </c>
      <c r="D20" s="13" t="s">
        <v>547</v>
      </c>
      <c r="E20" s="13" t="s">
        <v>542</v>
      </c>
      <c r="F20" s="69" t="s">
        <v>499</v>
      </c>
      <c r="G20" s="70" t="s">
        <v>548</v>
      </c>
      <c r="H20" s="70" t="s">
        <v>549</v>
      </c>
    </row>
    <row r="21" customFormat="false" ht="21.75" hidden="false" customHeight="true" outlineLevel="0" collapsed="false">
      <c r="B21" s="20" t="s">
        <v>550</v>
      </c>
      <c r="C21" s="68" t="s">
        <v>551</v>
      </c>
      <c r="D21" s="12" t="s">
        <v>547</v>
      </c>
      <c r="E21" s="12" t="s">
        <v>552</v>
      </c>
      <c r="F21" s="69" t="s">
        <v>499</v>
      </c>
      <c r="G21" s="68" t="s">
        <v>553</v>
      </c>
      <c r="H21" s="68" t="s">
        <v>554</v>
      </c>
    </row>
    <row r="22" customFormat="false" ht="21.75" hidden="false" customHeight="true" outlineLevel="0" collapsed="false">
      <c r="B22" s="21" t="s">
        <v>555</v>
      </c>
      <c r="C22" s="70" t="s">
        <v>556</v>
      </c>
      <c r="D22" s="13" t="s">
        <v>557</v>
      </c>
      <c r="E22" s="13" t="s">
        <v>558</v>
      </c>
      <c r="F22" s="69" t="s">
        <v>499</v>
      </c>
      <c r="G22" s="70" t="s">
        <v>559</v>
      </c>
      <c r="H22" s="70" t="s">
        <v>560</v>
      </c>
    </row>
    <row r="24" customFormat="false" ht="21.75" hidden="false" customHeight="true" outlineLevel="0" collapsed="false">
      <c r="B24" s="8" t="s">
        <v>561</v>
      </c>
      <c r="C24" s="8"/>
      <c r="D24" s="8"/>
      <c r="E24" s="8"/>
      <c r="F24" s="8"/>
      <c r="G24" s="8"/>
      <c r="H24" s="8"/>
    </row>
    <row r="25" customFormat="false" ht="21.75" hidden="false" customHeight="true" outlineLevel="0" collapsed="false">
      <c r="B25" s="6" t="s">
        <v>562</v>
      </c>
      <c r="C25" s="6"/>
      <c r="D25" s="6"/>
      <c r="E25" s="71" t="s">
        <v>563</v>
      </c>
      <c r="F25" s="71"/>
      <c r="G25" s="71"/>
      <c r="H25" s="71"/>
    </row>
    <row r="26" customFormat="false" ht="21.75" hidden="false" customHeight="true" outlineLevel="0" collapsed="false">
      <c r="B26" s="6" t="s">
        <v>564</v>
      </c>
      <c r="C26" s="6"/>
      <c r="D26" s="6"/>
      <c r="E26" s="72" t="s">
        <v>565</v>
      </c>
      <c r="F26" s="72"/>
      <c r="G26" s="72"/>
      <c r="H26" s="72"/>
    </row>
    <row r="27" customFormat="false" ht="21.75" hidden="false" customHeight="true" outlineLevel="0" collapsed="false">
      <c r="B27" s="6" t="s">
        <v>566</v>
      </c>
      <c r="C27" s="6"/>
      <c r="D27" s="6"/>
      <c r="E27" s="71" t="s">
        <v>567</v>
      </c>
      <c r="F27" s="71"/>
      <c r="G27" s="71"/>
      <c r="H27" s="71"/>
    </row>
    <row r="28" customFormat="false" ht="21.75" hidden="false" customHeight="true" outlineLevel="0" collapsed="false">
      <c r="B28" s="6" t="s">
        <v>568</v>
      </c>
      <c r="C28" s="6"/>
      <c r="D28" s="6"/>
      <c r="E28" s="71" t="s">
        <v>569</v>
      </c>
      <c r="F28" s="71"/>
      <c r="G28" s="71"/>
      <c r="H28" s="71"/>
    </row>
    <row r="29" customFormat="false" ht="21.75" hidden="false" customHeight="true" outlineLevel="0" collapsed="false">
      <c r="B29" s="6" t="s">
        <v>570</v>
      </c>
      <c r="C29" s="6"/>
      <c r="D29" s="6"/>
      <c r="E29" s="71" t="s">
        <v>571</v>
      </c>
      <c r="F29" s="71"/>
      <c r="G29" s="71"/>
      <c r="H29" s="71"/>
    </row>
  </sheetData>
  <mergeCells count="13">
    <mergeCell ref="B1:M3"/>
    <mergeCell ref="B4:M4"/>
    <mergeCell ref="B24:H24"/>
    <mergeCell ref="B25:D25"/>
    <mergeCell ref="E25:H25"/>
    <mergeCell ref="B26:D26"/>
    <mergeCell ref="E26:H26"/>
    <mergeCell ref="B27:D27"/>
    <mergeCell ref="E27:H27"/>
    <mergeCell ref="B28:D28"/>
    <mergeCell ref="E28:H28"/>
    <mergeCell ref="B29:D29"/>
    <mergeCell ref="E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2026-06-04T12:03:24Z</dcterms:created>
  <dc:creator>openpyxl</dc:creator>
  <dc:description/>
  <dc:language>en-US</dc:language>
  <cp:lastModifiedBy/>
  <dcterms:modified xsi:type="dcterms:W3CDTF">2026-06-04T12:03:24Z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